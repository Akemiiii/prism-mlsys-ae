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 Files\LLM\codes\LD\"/>
    </mc:Choice>
  </mc:AlternateContent>
  <xr:revisionPtr revIDLastSave="0" documentId="13_ncr:1_{7B3362A4-ABE7-403D-AC56-C4587166A5A4}" xr6:coauthVersionLast="47" xr6:coauthVersionMax="47" xr10:uidLastSave="{00000000-0000-0000-0000-000000000000}"/>
  <bookViews>
    <workbookView xWindow="-110" yWindow="-110" windowWidth="38620" windowHeight="21100" activeTab="3" xr2:uid="{19EAABD8-86DB-47E6-BFD1-E1050F603343}"/>
  </bookViews>
  <sheets>
    <sheet name="llama2-7b" sheetId="1" r:id="rId1"/>
    <sheet name="llama3-8b-60_7_10" sheetId="4" r:id="rId2"/>
    <sheet name="llama3-8b-60_5_10" sheetId="3" r:id="rId3"/>
    <sheet name="llama3-8b-16_3_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2" i="3" l="1"/>
  <c r="P44" i="3"/>
  <c r="I31" i="5"/>
  <c r="I30" i="5"/>
  <c r="I29" i="5"/>
  <c r="I28" i="5"/>
  <c r="I27" i="5"/>
  <c r="I24" i="5"/>
  <c r="I23" i="5"/>
  <c r="I22" i="5"/>
  <c r="I21" i="5"/>
  <c r="I20" i="5"/>
  <c r="I12" i="5"/>
  <c r="I13" i="5"/>
  <c r="I14" i="5"/>
  <c r="I15" i="5"/>
  <c r="I5" i="5"/>
  <c r="I6" i="5"/>
  <c r="I7" i="5"/>
  <c r="I8" i="5"/>
  <c r="I11" i="5"/>
  <c r="I4" i="5"/>
  <c r="I60" i="5"/>
  <c r="I61" i="5"/>
  <c r="I62" i="5"/>
  <c r="I63" i="5"/>
  <c r="I53" i="5"/>
  <c r="I54" i="5"/>
  <c r="I55" i="5"/>
  <c r="I56" i="5"/>
  <c r="I59" i="5"/>
  <c r="I52" i="5"/>
  <c r="I47" i="5"/>
  <c r="I40" i="5"/>
  <c r="I46" i="5"/>
  <c r="I39" i="5"/>
  <c r="I45" i="5"/>
  <c r="I38" i="5"/>
  <c r="I44" i="5"/>
  <c r="I37" i="5"/>
  <c r="I43" i="5"/>
  <c r="I36" i="5"/>
  <c r="P53" i="3"/>
  <c r="P45" i="3"/>
  <c r="P51" i="3"/>
  <c r="P43" i="3"/>
  <c r="P89" i="4"/>
  <c r="P81" i="4"/>
  <c r="P88" i="4"/>
  <c r="P80" i="4"/>
  <c r="P87" i="4"/>
  <c r="P79" i="4"/>
  <c r="P86" i="4"/>
  <c r="P78" i="4"/>
  <c r="P85" i="4"/>
  <c r="P77" i="4"/>
  <c r="P50" i="3"/>
  <c r="P42" i="3"/>
  <c r="P49" i="3"/>
  <c r="P41" i="3"/>
  <c r="P155" i="3"/>
  <c r="P147" i="3"/>
  <c r="P156" i="3"/>
  <c r="P148" i="3"/>
  <c r="P137" i="3"/>
  <c r="P129" i="3"/>
  <c r="P138" i="3"/>
  <c r="P130" i="3"/>
  <c r="P157" i="3"/>
  <c r="P149" i="3"/>
  <c r="P154" i="3"/>
  <c r="P146" i="3"/>
  <c r="P139" i="3"/>
  <c r="P131" i="3"/>
  <c r="P136" i="3"/>
  <c r="P128" i="3"/>
  <c r="P153" i="3"/>
  <c r="P145" i="3"/>
  <c r="P70" i="3"/>
  <c r="P62" i="3"/>
  <c r="P135" i="3"/>
  <c r="P127" i="3"/>
  <c r="P71" i="3"/>
  <c r="P63" i="3"/>
  <c r="P69" i="3"/>
  <c r="P61" i="3"/>
  <c r="P68" i="3"/>
  <c r="P60" i="3"/>
  <c r="P85" i="3"/>
  <c r="P79" i="3"/>
  <c r="P84" i="3"/>
  <c r="P78" i="3"/>
  <c r="P83" i="3"/>
  <c r="P77" i="3"/>
  <c r="P67" i="3"/>
  <c r="P59" i="3"/>
  <c r="P120" i="3"/>
  <c r="P112" i="3"/>
  <c r="P70" i="4"/>
  <c r="P62" i="4"/>
  <c r="P121" i="3"/>
  <c r="P113" i="3"/>
  <c r="P119" i="3"/>
  <c r="P111" i="3"/>
  <c r="P118" i="3"/>
  <c r="P110" i="3"/>
  <c r="P117" i="3"/>
  <c r="P109" i="3"/>
  <c r="P71" i="4"/>
  <c r="P63" i="4"/>
  <c r="P69" i="4"/>
  <c r="P61" i="4"/>
  <c r="P68" i="4"/>
  <c r="P60" i="4"/>
  <c r="P67" i="4"/>
  <c r="P59" i="4"/>
  <c r="P17" i="4"/>
  <c r="P9" i="4"/>
  <c r="P16" i="4"/>
  <c r="P8" i="4"/>
  <c r="P15" i="4"/>
  <c r="P7" i="4"/>
  <c r="P14" i="4"/>
  <c r="P6" i="4"/>
  <c r="P13" i="4"/>
  <c r="P5" i="4"/>
  <c r="P35" i="4"/>
  <c r="P27" i="4"/>
  <c r="P34" i="4"/>
  <c r="P26" i="4"/>
  <c r="P33" i="4"/>
  <c r="P25" i="4"/>
  <c r="P32" i="4"/>
  <c r="P24" i="4"/>
  <c r="P49" i="4"/>
  <c r="P41" i="4"/>
  <c r="P50" i="4"/>
  <c r="P42" i="4"/>
  <c r="P51" i="4"/>
  <c r="P43" i="4"/>
  <c r="P52" i="4"/>
  <c r="P44" i="4"/>
  <c r="P53" i="4"/>
  <c r="P45" i="4"/>
  <c r="P31" i="4"/>
  <c r="P23" i="4"/>
  <c r="P103" i="3"/>
  <c r="P95" i="3"/>
  <c r="P101" i="3"/>
  <c r="P93" i="3"/>
  <c r="P102" i="3"/>
  <c r="P94" i="3"/>
  <c r="P100" i="3"/>
  <c r="P92" i="3"/>
  <c r="P35" i="3"/>
  <c r="P27" i="3"/>
  <c r="P33" i="3"/>
  <c r="P25" i="3"/>
  <c r="P34" i="3"/>
  <c r="P26" i="3"/>
  <c r="P15" i="3"/>
  <c r="P7" i="3"/>
  <c r="P32" i="3"/>
  <c r="P24" i="3"/>
  <c r="P99" i="3"/>
  <c r="P91" i="3"/>
  <c r="P16" i="3"/>
  <c r="P8" i="3"/>
  <c r="P31" i="3"/>
  <c r="P23" i="3"/>
  <c r="P17" i="3"/>
  <c r="P9" i="3"/>
  <c r="P14" i="3"/>
  <c r="P6" i="3"/>
  <c r="P13" i="3"/>
  <c r="P5" i="3"/>
  <c r="P71" i="1"/>
  <c r="P63" i="1"/>
  <c r="P70" i="1"/>
  <c r="P62" i="1"/>
  <c r="P69" i="1"/>
  <c r="P61" i="1"/>
  <c r="P68" i="1"/>
  <c r="P67" i="1"/>
  <c r="P60" i="1"/>
  <c r="P59" i="1"/>
  <c r="P53" i="1"/>
  <c r="P45" i="1"/>
  <c r="P52" i="1"/>
  <c r="P44" i="1"/>
  <c r="P102" i="1"/>
  <c r="P96" i="1"/>
  <c r="P101" i="1"/>
  <c r="P95" i="1"/>
  <c r="P103" i="1"/>
  <c r="P97" i="1"/>
  <c r="P117" i="1"/>
  <c r="P116" i="1"/>
  <c r="P115" i="1"/>
  <c r="P111" i="1"/>
  <c r="P110" i="1"/>
  <c r="P109" i="1"/>
  <c r="P51" i="1"/>
  <c r="P43" i="1"/>
  <c r="P89" i="1"/>
  <c r="P81" i="1"/>
  <c r="P87" i="1"/>
  <c r="P79" i="1"/>
  <c r="P50" i="1"/>
  <c r="P42" i="1"/>
  <c r="P86" i="1"/>
  <c r="P78" i="1"/>
  <c r="P49" i="1"/>
  <c r="P41" i="1"/>
  <c r="P88" i="1"/>
  <c r="P80" i="1"/>
  <c r="P35" i="1"/>
  <c r="P27" i="1"/>
  <c r="P34" i="1"/>
  <c r="P26" i="1"/>
  <c r="P33" i="1"/>
  <c r="P25" i="1"/>
  <c r="P85" i="1"/>
  <c r="P77" i="1"/>
  <c r="P32" i="1"/>
  <c r="P24" i="1"/>
  <c r="P31" i="1"/>
  <c r="P23" i="1"/>
  <c r="P14" i="1"/>
  <c r="P15" i="1"/>
  <c r="P16" i="1"/>
  <c r="P17" i="1"/>
  <c r="P13" i="1"/>
  <c r="P6" i="1"/>
  <c r="P7" i="1"/>
  <c r="P8" i="1"/>
  <c r="P9" i="1"/>
  <c r="P5" i="1"/>
</calcChain>
</file>

<file path=xl/sharedStrings.xml><?xml version="1.0" encoding="utf-8"?>
<sst xmlns="http://schemas.openxmlformats.org/spreadsheetml/2006/main" count="1304" uniqueCount="52">
  <si>
    <t>Data Num.</t>
  </si>
  <si>
    <t>MT-bench</t>
  </si>
  <si>
    <t>HumanEval</t>
  </si>
  <si>
    <t>GSM8K</t>
  </si>
  <si>
    <t>Alpaca</t>
  </si>
  <si>
    <t>CNN/DM</t>
  </si>
  <si>
    <t>Natural Ques.</t>
  </si>
  <si>
    <t>Mean</t>
  </si>
  <si>
    <t>100k (epoch=40)</t>
  </si>
  <si>
    <t>200k (epoch=30)</t>
  </si>
  <si>
    <t>400k (epoch=25)</t>
  </si>
  <si>
    <t>600k (epoch=20)</t>
  </si>
  <si>
    <t>800k (epoch=15)</t>
  </si>
  <si>
    <t>Temperature = 0</t>
    <phoneticPr fontId="1" type="noConversion"/>
  </si>
  <si>
    <t>Temperature = 1</t>
    <phoneticPr fontId="1" type="noConversion"/>
  </si>
  <si>
    <t>Speedup</t>
    <phoneticPr fontId="1" type="noConversion"/>
  </si>
  <si>
    <t>τ</t>
    <phoneticPr fontId="1" type="noConversion"/>
  </si>
  <si>
    <t>Eagle2</t>
  </si>
  <si>
    <t>HASS-1</t>
    <phoneticPr fontId="1" type="noConversion"/>
  </si>
  <si>
    <t>HASS-2</t>
    <phoneticPr fontId="1" type="noConversion"/>
  </si>
  <si>
    <t>Large Drafter
LD5
100k (epoch=20)</t>
    <phoneticPr fontId="1" type="noConversion"/>
  </si>
  <si>
    <t>0/0/0/0/0</t>
    <phoneticPr fontId="1" type="noConversion"/>
  </si>
  <si>
    <t>1/1/1/1/1</t>
    <phoneticPr fontId="1" type="noConversion"/>
  </si>
  <si>
    <t>0/0/0/1/1</t>
    <phoneticPr fontId="1" type="noConversion"/>
  </si>
  <si>
    <t>Large Drafter
LD
100k (epoch=40)</t>
    <phoneticPr fontId="1" type="noConversion"/>
  </si>
  <si>
    <t>0/0/0</t>
    <phoneticPr fontId="1" type="noConversion"/>
  </si>
  <si>
    <t>1/1/1</t>
    <phoneticPr fontId="1" type="noConversion"/>
  </si>
  <si>
    <t>0/1/1</t>
    <phoneticPr fontId="1" type="noConversion"/>
  </si>
  <si>
    <t>Step Models</t>
    <phoneticPr fontId="1" type="noConversion"/>
  </si>
  <si>
    <r>
      <t xml:space="preserve">Large Drafter
LD
</t>
    </r>
    <r>
      <rPr>
        <sz val="11"/>
        <color rgb="FFC00000"/>
        <rFont val="Times New Roman"/>
        <family val="1"/>
      </rPr>
      <t>Load Error</t>
    </r>
    <phoneticPr fontId="1" type="noConversion"/>
  </si>
  <si>
    <t>Large Drafter
LD
from HASS</t>
    <phoneticPr fontId="1" type="noConversion"/>
  </si>
  <si>
    <t>100k (epoch=10)</t>
    <phoneticPr fontId="1" type="noConversion"/>
  </si>
  <si>
    <t>200k (epoch=8)</t>
    <phoneticPr fontId="1" type="noConversion"/>
  </si>
  <si>
    <t>400k (epoch=7)</t>
    <phoneticPr fontId="1" type="noConversion"/>
  </si>
  <si>
    <t>600k (epoch=6)</t>
    <phoneticPr fontId="1" type="noConversion"/>
  </si>
  <si>
    <t>800k (epoch=5)</t>
    <phoneticPr fontId="1" type="noConversion"/>
  </si>
  <si>
    <t>total-token=60
depth=5
top-k=10</t>
    <phoneticPr fontId="1" type="noConversion"/>
  </si>
  <si>
    <t>total-token=60
depth=7
top-k=10</t>
    <phoneticPr fontId="1" type="noConversion"/>
  </si>
  <si>
    <t>HASS</t>
    <phoneticPr fontId="1" type="noConversion"/>
  </si>
  <si>
    <t>Eagle3</t>
    <phoneticPr fontId="1" type="noConversion"/>
  </si>
  <si>
    <t>100k (epoch=8)</t>
    <phoneticPr fontId="1" type="noConversion"/>
  </si>
  <si>
    <t>200k (epoch=6)</t>
    <phoneticPr fontId="1" type="noConversion"/>
  </si>
  <si>
    <t>400k (epoch=5)</t>
    <phoneticPr fontId="1" type="noConversion"/>
  </si>
  <si>
    <t>600k (epoch=4)</t>
    <phoneticPr fontId="1" type="noConversion"/>
  </si>
  <si>
    <t>800k (epoch=3)</t>
    <phoneticPr fontId="1" type="noConversion"/>
  </si>
  <si>
    <t>HASS-3</t>
    <phoneticPr fontId="1" type="noConversion"/>
  </si>
  <si>
    <t>HASS-1
Align-5</t>
    <phoneticPr fontId="1" type="noConversion"/>
  </si>
  <si>
    <t>PRISM
from HASS</t>
    <phoneticPr fontId="1" type="noConversion"/>
  </si>
  <si>
    <t>total-token=16
depth=3
top-k=4</t>
    <phoneticPr fontId="1" type="noConversion"/>
  </si>
  <si>
    <t>EAGLE2</t>
    <phoneticPr fontId="1" type="noConversion"/>
  </si>
  <si>
    <t>EAGLE3</t>
    <phoneticPr fontId="1" type="noConversion"/>
  </si>
  <si>
    <t>PRISM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</si>
</sst>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sz val="11"/>
      <color rgb="FFC00000"/>
      <name val="Times New Roman"/>
      <family val="1"/>
    </font>
    <font>
      <b/>
      <sz val="11"/>
      <color rgb="FFC00000"/>
      <name val="Times New Roman"/>
      <family val="1"/>
    </font>
    <font>
      <b/>
      <sz val="13"/>
      <color rgb="FFC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53E9-5DFB-45B3-8931-84232E27E98E}">
  <dimension ref="A2:P117"/>
  <sheetViews>
    <sheetView zoomScaleNormal="100" workbookViewId="0"/>
  </sheetViews>
  <sheetFormatPr defaultColWidth="7.58203125" defaultRowHeight="15" customHeight="1" x14ac:dyDescent="0.3"/>
  <cols>
    <col min="1" max="16" width="13.58203125" style="1" customWidth="1"/>
    <col min="17" max="16384" width="7.58203125" style="1"/>
  </cols>
  <sheetData>
    <row r="2" spans="1:16" ht="15" customHeight="1" x14ac:dyDescent="0.3">
      <c r="A2" s="10" t="s">
        <v>17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5" customHeight="1" x14ac:dyDescent="0.3">
      <c r="A3" s="10"/>
      <c r="B3" s="12" t="s">
        <v>0</v>
      </c>
      <c r="C3" s="12" t="s">
        <v>1</v>
      </c>
      <c r="D3" s="12"/>
      <c r="E3" s="12" t="s">
        <v>2</v>
      </c>
      <c r="F3" s="12"/>
      <c r="G3" s="12" t="s">
        <v>3</v>
      </c>
      <c r="H3" s="12"/>
      <c r="I3" s="12" t="s">
        <v>4</v>
      </c>
      <c r="J3" s="12"/>
      <c r="K3" s="12" t="s">
        <v>5</v>
      </c>
      <c r="L3" s="12"/>
      <c r="M3" s="12" t="s">
        <v>6</v>
      </c>
      <c r="N3" s="12"/>
      <c r="O3" s="12" t="s">
        <v>7</v>
      </c>
      <c r="P3" s="12"/>
    </row>
    <row r="4" spans="1:16" ht="15" customHeight="1" x14ac:dyDescent="0.3">
      <c r="A4" s="10"/>
      <c r="B4" s="13"/>
      <c r="C4" s="2" t="s">
        <v>15</v>
      </c>
      <c r="D4" s="2" t="s">
        <v>16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2" t="s">
        <v>15</v>
      </c>
      <c r="L4" s="2" t="s">
        <v>16</v>
      </c>
      <c r="M4" s="2" t="s">
        <v>15</v>
      </c>
      <c r="N4" s="2" t="s">
        <v>16</v>
      </c>
      <c r="O4" s="2" t="s">
        <v>15</v>
      </c>
      <c r="P4" s="2" t="s">
        <v>16</v>
      </c>
    </row>
    <row r="5" spans="1:16" ht="15" customHeight="1" x14ac:dyDescent="0.3">
      <c r="A5" s="10"/>
      <c r="B5" s="1" t="s">
        <v>8</v>
      </c>
      <c r="C5" s="3"/>
      <c r="D5" s="3">
        <v>4.7331500000000002</v>
      </c>
      <c r="E5" s="3"/>
      <c r="F5" s="3">
        <v>5.3544900000000002</v>
      </c>
      <c r="G5" s="3"/>
      <c r="H5" s="3">
        <v>4.84016</v>
      </c>
      <c r="I5" s="3"/>
      <c r="J5" s="3">
        <v>4.6296099999999996</v>
      </c>
      <c r="K5" s="3"/>
      <c r="L5" s="3">
        <v>4.3128500000000001</v>
      </c>
      <c r="M5" s="3"/>
      <c r="N5" s="3">
        <v>4.2569699999999999</v>
      </c>
      <c r="O5" s="3"/>
      <c r="P5" s="3">
        <f>AVERAGE(D5,F5,H5,J5,L5,N5)</f>
        <v>4.6878716666666671</v>
      </c>
    </row>
    <row r="6" spans="1:16" ht="15" customHeight="1" x14ac:dyDescent="0.3">
      <c r="A6" s="10"/>
      <c r="B6" s="1" t="s">
        <v>9</v>
      </c>
      <c r="C6" s="3"/>
      <c r="D6" s="3">
        <v>4.8913900000000003</v>
      </c>
      <c r="E6" s="3"/>
      <c r="F6" s="3">
        <v>5.5302499999999997</v>
      </c>
      <c r="G6" s="3"/>
      <c r="H6" s="3">
        <v>4.9999799999999999</v>
      </c>
      <c r="I6" s="3"/>
      <c r="J6" s="3">
        <v>4.8009399999999998</v>
      </c>
      <c r="K6" s="3"/>
      <c r="L6" s="3">
        <v>4.4855999999999998</v>
      </c>
      <c r="M6" s="3"/>
      <c r="N6" s="3">
        <v>4.4412000000000003</v>
      </c>
      <c r="O6" s="3"/>
      <c r="P6" s="3">
        <f t="shared" ref="P6:P9" si="0">AVERAGE(D6,F6,H6,J6,L6,N6)</f>
        <v>4.8582266666666669</v>
      </c>
    </row>
    <row r="7" spans="1:16" ht="15" customHeight="1" x14ac:dyDescent="0.3">
      <c r="A7" s="10"/>
      <c r="B7" s="1" t="s">
        <v>10</v>
      </c>
      <c r="C7" s="3"/>
      <c r="D7" s="3">
        <v>4.9870799999999997</v>
      </c>
      <c r="E7" s="3"/>
      <c r="F7" s="3">
        <v>5.6116200000000003</v>
      </c>
      <c r="G7" s="3"/>
      <c r="H7" s="3">
        <v>5.0410199999999996</v>
      </c>
      <c r="I7" s="3"/>
      <c r="J7" s="3">
        <v>4.9493400000000003</v>
      </c>
      <c r="K7" s="3"/>
      <c r="L7" s="3">
        <v>4.5785200000000001</v>
      </c>
      <c r="M7" s="3"/>
      <c r="N7" s="3">
        <v>4.5447699999999998</v>
      </c>
      <c r="O7" s="3"/>
      <c r="P7" s="3">
        <f t="shared" si="0"/>
        <v>4.9520583333333335</v>
      </c>
    </row>
    <row r="8" spans="1:16" ht="15" customHeight="1" x14ac:dyDescent="0.3">
      <c r="A8" s="10"/>
      <c r="B8" s="1" t="s">
        <v>11</v>
      </c>
      <c r="C8" s="3"/>
      <c r="D8" s="3">
        <v>5.0443600000000002</v>
      </c>
      <c r="E8" s="3"/>
      <c r="F8" s="3">
        <v>5.6475499999999998</v>
      </c>
      <c r="G8" s="3"/>
      <c r="H8" s="3">
        <v>5.0628000000000002</v>
      </c>
      <c r="I8" s="3"/>
      <c r="J8" s="3">
        <v>4.9394600000000004</v>
      </c>
      <c r="K8" s="3"/>
      <c r="L8" s="3">
        <v>4.6181299999999998</v>
      </c>
      <c r="M8" s="3"/>
      <c r="N8" s="3">
        <v>4.5690200000000001</v>
      </c>
      <c r="O8" s="3"/>
      <c r="P8" s="3">
        <f t="shared" si="0"/>
        <v>4.9802200000000001</v>
      </c>
    </row>
    <row r="9" spans="1:16" ht="15" customHeight="1" x14ac:dyDescent="0.3">
      <c r="A9" s="10"/>
      <c r="B9" s="2" t="s">
        <v>12</v>
      </c>
      <c r="C9" s="4"/>
      <c r="D9" s="4">
        <v>5.0284599999999999</v>
      </c>
      <c r="E9" s="4"/>
      <c r="F9" s="4">
        <v>5.6217199999999998</v>
      </c>
      <c r="G9" s="4"/>
      <c r="H9" s="4">
        <v>5.1266999999999996</v>
      </c>
      <c r="I9" s="4"/>
      <c r="J9" s="4">
        <v>4.96793</v>
      </c>
      <c r="K9" s="4"/>
      <c r="L9" s="4">
        <v>4.63727</v>
      </c>
      <c r="M9" s="4"/>
      <c r="N9" s="4">
        <v>4.5743200000000002</v>
      </c>
      <c r="O9" s="4"/>
      <c r="P9" s="3">
        <f t="shared" si="0"/>
        <v>4.9927333333333328</v>
      </c>
    </row>
    <row r="10" spans="1:16" ht="15" customHeight="1" x14ac:dyDescent="0.3">
      <c r="A10" s="10"/>
      <c r="B10" s="11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customHeight="1" x14ac:dyDescent="0.3">
      <c r="A11" s="10"/>
      <c r="B11" s="12" t="s">
        <v>0</v>
      </c>
      <c r="C11" s="12" t="s">
        <v>1</v>
      </c>
      <c r="D11" s="12"/>
      <c r="E11" s="12" t="s">
        <v>2</v>
      </c>
      <c r="F11" s="12"/>
      <c r="G11" s="12" t="s">
        <v>3</v>
      </c>
      <c r="H11" s="12"/>
      <c r="I11" s="12" t="s">
        <v>4</v>
      </c>
      <c r="J11" s="12"/>
      <c r="K11" s="12" t="s">
        <v>5</v>
      </c>
      <c r="L11" s="12"/>
      <c r="M11" s="12" t="s">
        <v>6</v>
      </c>
      <c r="N11" s="12"/>
      <c r="O11" s="12" t="s">
        <v>7</v>
      </c>
      <c r="P11" s="12"/>
    </row>
    <row r="12" spans="1:16" ht="15" customHeight="1" x14ac:dyDescent="0.3">
      <c r="A12" s="10"/>
      <c r="B12" s="13"/>
      <c r="C12" s="2" t="s">
        <v>15</v>
      </c>
      <c r="D12" s="2" t="s">
        <v>16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  <c r="M12" s="2" t="s">
        <v>15</v>
      </c>
      <c r="N12" s="2" t="s">
        <v>16</v>
      </c>
      <c r="O12" s="2" t="s">
        <v>15</v>
      </c>
      <c r="P12" s="2" t="s">
        <v>16</v>
      </c>
    </row>
    <row r="13" spans="1:16" ht="15" customHeight="1" x14ac:dyDescent="0.3">
      <c r="A13" s="10"/>
      <c r="B13" s="1" t="s">
        <v>8</v>
      </c>
      <c r="C13" s="3"/>
      <c r="D13" s="3">
        <v>4.5132899999999996</v>
      </c>
      <c r="E13" s="3"/>
      <c r="F13" s="3">
        <v>5.0724900000000002</v>
      </c>
      <c r="G13" s="3"/>
      <c r="H13" s="3">
        <v>4.8775700000000004</v>
      </c>
      <c r="I13" s="3"/>
      <c r="J13" s="3">
        <v>4.54291</v>
      </c>
      <c r="K13" s="3"/>
      <c r="L13" s="3">
        <v>4.1329700000000003</v>
      </c>
      <c r="M13" s="3"/>
      <c r="N13" s="3">
        <v>4.1148800000000003</v>
      </c>
      <c r="O13" s="3"/>
      <c r="P13" s="3">
        <f>AVERAGE(D13,F13,H13,J13,L13,N13)</f>
        <v>4.5423516666666668</v>
      </c>
    </row>
    <row r="14" spans="1:16" ht="15" customHeight="1" x14ac:dyDescent="0.3">
      <c r="A14" s="10"/>
      <c r="B14" s="1" t="s">
        <v>9</v>
      </c>
      <c r="C14" s="3"/>
      <c r="D14" s="3">
        <v>4.7063600000000001</v>
      </c>
      <c r="E14" s="3"/>
      <c r="F14" s="3">
        <v>5.2547600000000001</v>
      </c>
      <c r="G14" s="3"/>
      <c r="H14" s="3">
        <v>4.8792900000000001</v>
      </c>
      <c r="I14" s="3"/>
      <c r="J14" s="3">
        <v>4.5448399999999998</v>
      </c>
      <c r="K14" s="3"/>
      <c r="L14" s="3">
        <v>4.2995400000000004</v>
      </c>
      <c r="M14" s="3"/>
      <c r="N14" s="3">
        <v>4.23569</v>
      </c>
      <c r="O14" s="3"/>
      <c r="P14" s="3">
        <f t="shared" ref="P14:P17" si="1">AVERAGE(D14,F14,H14,J14,L14,N14)</f>
        <v>4.6534133333333338</v>
      </c>
    </row>
    <row r="15" spans="1:16" ht="15" customHeight="1" x14ac:dyDescent="0.3">
      <c r="A15" s="10"/>
      <c r="B15" s="1" t="s">
        <v>10</v>
      </c>
      <c r="C15" s="3"/>
      <c r="D15" s="3">
        <v>4.7744499999999999</v>
      </c>
      <c r="E15" s="3"/>
      <c r="F15" s="3">
        <v>5.24275</v>
      </c>
      <c r="G15" s="3"/>
      <c r="H15" s="3">
        <v>5.0554300000000003</v>
      </c>
      <c r="I15" s="3"/>
      <c r="J15" s="3">
        <v>4.7523499999999999</v>
      </c>
      <c r="K15" s="3"/>
      <c r="L15" s="3">
        <v>4.3680899999999996</v>
      </c>
      <c r="M15" s="3"/>
      <c r="N15" s="3">
        <v>4.3902099999999997</v>
      </c>
      <c r="O15" s="3"/>
      <c r="P15" s="3">
        <f t="shared" si="1"/>
        <v>4.7638799999999994</v>
      </c>
    </row>
    <row r="16" spans="1:16" ht="15" customHeight="1" x14ac:dyDescent="0.3">
      <c r="A16" s="10"/>
      <c r="B16" s="1" t="s">
        <v>11</v>
      </c>
      <c r="C16" s="3"/>
      <c r="D16" s="3">
        <v>4.8411799999999996</v>
      </c>
      <c r="E16" s="3"/>
      <c r="F16" s="3">
        <v>5.2918099999999999</v>
      </c>
      <c r="G16" s="3"/>
      <c r="H16" s="3">
        <v>5.1157899999999996</v>
      </c>
      <c r="I16" s="3"/>
      <c r="J16" s="3">
        <v>4.7609899999999996</v>
      </c>
      <c r="K16" s="3"/>
      <c r="L16" s="3">
        <v>4.4552699999999996</v>
      </c>
      <c r="M16" s="3"/>
      <c r="N16" s="3">
        <v>4.4038599999999999</v>
      </c>
      <c r="O16" s="3"/>
      <c r="P16" s="3">
        <f t="shared" si="1"/>
        <v>4.8114833333333324</v>
      </c>
    </row>
    <row r="17" spans="1:16" ht="15" customHeight="1" x14ac:dyDescent="0.3">
      <c r="A17" s="10"/>
      <c r="B17" s="2" t="s">
        <v>12</v>
      </c>
      <c r="C17" s="4"/>
      <c r="D17" s="4">
        <v>4.8296099999999997</v>
      </c>
      <c r="E17" s="4"/>
      <c r="F17" s="4">
        <v>5.3057299999999996</v>
      </c>
      <c r="G17" s="4"/>
      <c r="H17" s="4">
        <v>5.1624800000000004</v>
      </c>
      <c r="I17" s="4"/>
      <c r="J17" s="4">
        <v>4.81447</v>
      </c>
      <c r="K17" s="4"/>
      <c r="L17" s="4">
        <v>4.4093200000000001</v>
      </c>
      <c r="M17" s="4"/>
      <c r="N17" s="4">
        <v>4.4369399999999999</v>
      </c>
      <c r="O17" s="4"/>
      <c r="P17" s="4">
        <f t="shared" si="1"/>
        <v>4.8264250000000004</v>
      </c>
    </row>
    <row r="18" spans="1:16" ht="15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20" spans="1:16" ht="15" customHeight="1" x14ac:dyDescent="0.3">
      <c r="A20" s="10" t="s">
        <v>18</v>
      </c>
      <c r="B20" s="11" t="s">
        <v>13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15" customHeight="1" x14ac:dyDescent="0.3">
      <c r="A21" s="10"/>
      <c r="B21" s="12" t="s">
        <v>0</v>
      </c>
      <c r="C21" s="12" t="s">
        <v>1</v>
      </c>
      <c r="D21" s="12"/>
      <c r="E21" s="12" t="s">
        <v>2</v>
      </c>
      <c r="F21" s="12"/>
      <c r="G21" s="12" t="s">
        <v>3</v>
      </c>
      <c r="H21" s="12"/>
      <c r="I21" s="12" t="s">
        <v>4</v>
      </c>
      <c r="J21" s="12"/>
      <c r="K21" s="12" t="s">
        <v>5</v>
      </c>
      <c r="L21" s="12"/>
      <c r="M21" s="12" t="s">
        <v>6</v>
      </c>
      <c r="N21" s="12"/>
      <c r="O21" s="12" t="s">
        <v>7</v>
      </c>
      <c r="P21" s="12"/>
    </row>
    <row r="22" spans="1:16" ht="15" customHeight="1" x14ac:dyDescent="0.3">
      <c r="A22" s="10"/>
      <c r="B22" s="13"/>
      <c r="C22" s="2" t="s">
        <v>15</v>
      </c>
      <c r="D22" s="2" t="s">
        <v>16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 t="s">
        <v>16</v>
      </c>
      <c r="K22" s="2" t="s">
        <v>15</v>
      </c>
      <c r="L22" s="2" t="s">
        <v>16</v>
      </c>
      <c r="M22" s="2" t="s">
        <v>15</v>
      </c>
      <c r="N22" s="2" t="s">
        <v>16</v>
      </c>
      <c r="O22" s="2" t="s">
        <v>15</v>
      </c>
      <c r="P22" s="2" t="s">
        <v>16</v>
      </c>
    </row>
    <row r="23" spans="1:16" ht="15" customHeight="1" x14ac:dyDescent="0.3">
      <c r="A23" s="10"/>
      <c r="B23" s="1" t="s">
        <v>8</v>
      </c>
      <c r="C23" s="3"/>
      <c r="D23" s="3">
        <v>5.0917300000000001</v>
      </c>
      <c r="E23" s="3"/>
      <c r="F23" s="3">
        <v>5.7859600000000002</v>
      </c>
      <c r="G23" s="3"/>
      <c r="H23" s="3">
        <v>5.2265300000000003</v>
      </c>
      <c r="I23" s="3"/>
      <c r="J23" s="3">
        <v>4.9669499999999998</v>
      </c>
      <c r="K23" s="3"/>
      <c r="L23" s="3">
        <v>4.6795799999999996</v>
      </c>
      <c r="M23" s="3"/>
      <c r="N23" s="3">
        <v>4.5426299999999999</v>
      </c>
      <c r="O23" s="3"/>
      <c r="P23" s="3">
        <f>AVERAGE(D23,F23,H23,J23,L23,N23)</f>
        <v>5.0488966666666668</v>
      </c>
    </row>
    <row r="24" spans="1:16" ht="15" customHeight="1" x14ac:dyDescent="0.3">
      <c r="A24" s="10"/>
      <c r="B24" s="1" t="s">
        <v>9</v>
      </c>
      <c r="C24" s="3"/>
      <c r="D24" s="3">
        <v>5.2306299999999997</v>
      </c>
      <c r="E24" s="3"/>
      <c r="F24" s="3">
        <v>5.8695700000000004</v>
      </c>
      <c r="G24" s="3"/>
      <c r="H24" s="3">
        <v>5.3025799999999998</v>
      </c>
      <c r="I24" s="3"/>
      <c r="J24" s="3">
        <v>5.1180300000000001</v>
      </c>
      <c r="K24" s="3"/>
      <c r="L24" s="3">
        <v>4.8536200000000003</v>
      </c>
      <c r="M24" s="3"/>
      <c r="N24" s="3">
        <v>4.7490699999999997</v>
      </c>
      <c r="O24" s="3"/>
      <c r="P24" s="3">
        <f>AVERAGE(D24,F24,H24,J24,L24,N24)</f>
        <v>5.1872499999999997</v>
      </c>
    </row>
    <row r="25" spans="1:16" ht="15" customHeight="1" x14ac:dyDescent="0.3">
      <c r="A25" s="10"/>
      <c r="B25" s="1" t="s">
        <v>10</v>
      </c>
      <c r="C25" s="3"/>
      <c r="D25" s="3">
        <v>5.3506999999999998</v>
      </c>
      <c r="E25" s="3"/>
      <c r="F25" s="3">
        <v>5.9641000000000002</v>
      </c>
      <c r="G25" s="3"/>
      <c r="H25" s="3">
        <v>5.3904399999999999</v>
      </c>
      <c r="I25" s="3"/>
      <c r="J25" s="3">
        <v>5.20702</v>
      </c>
      <c r="K25" s="3"/>
      <c r="L25" s="3">
        <v>4.9446599999999998</v>
      </c>
      <c r="M25" s="3"/>
      <c r="N25" s="3">
        <v>4.8455500000000002</v>
      </c>
      <c r="O25" s="3"/>
      <c r="P25" s="3">
        <f>AVERAGE(D25,F25,H25,J25,L25,N25)</f>
        <v>5.2837449999999997</v>
      </c>
    </row>
    <row r="26" spans="1:16" ht="15" customHeight="1" x14ac:dyDescent="0.3">
      <c r="A26" s="10"/>
      <c r="B26" s="1" t="s">
        <v>11</v>
      </c>
      <c r="C26" s="3"/>
      <c r="D26" s="3">
        <v>5.33786</v>
      </c>
      <c r="E26" s="3"/>
      <c r="F26" s="3">
        <v>5.9935799999999997</v>
      </c>
      <c r="G26" s="3"/>
      <c r="H26" s="3">
        <v>5.4206399999999997</v>
      </c>
      <c r="I26" s="3"/>
      <c r="J26" s="3">
        <v>5.2401299999999997</v>
      </c>
      <c r="K26" s="3"/>
      <c r="L26" s="3">
        <v>4.9555800000000003</v>
      </c>
      <c r="M26" s="3"/>
      <c r="N26" s="3">
        <v>4.8746600000000004</v>
      </c>
      <c r="O26" s="3"/>
      <c r="P26" s="3">
        <f>AVERAGE(D26,F26,H26,J26,L26,N26)</f>
        <v>5.3037416666666672</v>
      </c>
    </row>
    <row r="27" spans="1:16" ht="15" customHeight="1" x14ac:dyDescent="0.3">
      <c r="A27" s="10"/>
      <c r="B27" s="2" t="s">
        <v>12</v>
      </c>
      <c r="C27" s="4"/>
      <c r="D27" s="4">
        <v>5.3412699999999997</v>
      </c>
      <c r="E27" s="4"/>
      <c r="F27" s="4">
        <v>5.9933699999999996</v>
      </c>
      <c r="G27" s="4"/>
      <c r="H27" s="4">
        <v>5.4163199999999998</v>
      </c>
      <c r="I27" s="4"/>
      <c r="J27" s="4">
        <v>5.2602200000000003</v>
      </c>
      <c r="K27" s="4"/>
      <c r="L27" s="4">
        <v>4.9869199999999996</v>
      </c>
      <c r="M27" s="4"/>
      <c r="N27" s="4">
        <v>4.91995</v>
      </c>
      <c r="O27" s="4"/>
      <c r="P27" s="4">
        <f>AVERAGE(D27,F27,H27,J27,L27,N27)</f>
        <v>5.3196750000000002</v>
      </c>
    </row>
    <row r="28" spans="1:16" ht="15" customHeight="1" x14ac:dyDescent="0.3">
      <c r="A28" s="10"/>
      <c r="B28" s="11" t="s">
        <v>14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5" customHeight="1" x14ac:dyDescent="0.3">
      <c r="A29" s="10"/>
      <c r="B29" s="12" t="s">
        <v>0</v>
      </c>
      <c r="C29" s="12" t="s">
        <v>1</v>
      </c>
      <c r="D29" s="12"/>
      <c r="E29" s="12" t="s">
        <v>2</v>
      </c>
      <c r="F29" s="12"/>
      <c r="G29" s="12" t="s">
        <v>3</v>
      </c>
      <c r="H29" s="12"/>
      <c r="I29" s="12" t="s">
        <v>4</v>
      </c>
      <c r="J29" s="12"/>
      <c r="K29" s="12" t="s">
        <v>5</v>
      </c>
      <c r="L29" s="12"/>
      <c r="M29" s="12" t="s">
        <v>6</v>
      </c>
      <c r="N29" s="12"/>
      <c r="O29" s="12" t="s">
        <v>7</v>
      </c>
      <c r="P29" s="12"/>
    </row>
    <row r="30" spans="1:16" ht="15" customHeight="1" x14ac:dyDescent="0.3">
      <c r="A30" s="10"/>
      <c r="B30" s="13"/>
      <c r="C30" s="2" t="s">
        <v>15</v>
      </c>
      <c r="D30" s="2" t="s">
        <v>16</v>
      </c>
      <c r="E30" s="2" t="s">
        <v>15</v>
      </c>
      <c r="F30" s="2" t="s">
        <v>16</v>
      </c>
      <c r="G30" s="2" t="s">
        <v>15</v>
      </c>
      <c r="H30" s="2" t="s">
        <v>16</v>
      </c>
      <c r="I30" s="2" t="s">
        <v>15</v>
      </c>
      <c r="J30" s="2" t="s">
        <v>16</v>
      </c>
      <c r="K30" s="2" t="s">
        <v>15</v>
      </c>
      <c r="L30" s="2" t="s">
        <v>16</v>
      </c>
      <c r="M30" s="2" t="s">
        <v>15</v>
      </c>
      <c r="N30" s="2" t="s">
        <v>16</v>
      </c>
      <c r="O30" s="2" t="s">
        <v>15</v>
      </c>
      <c r="P30" s="2" t="s">
        <v>16</v>
      </c>
    </row>
    <row r="31" spans="1:16" ht="15" customHeight="1" x14ac:dyDescent="0.3">
      <c r="A31" s="10"/>
      <c r="B31" s="1" t="s">
        <v>8</v>
      </c>
      <c r="C31" s="3"/>
      <c r="D31" s="3">
        <v>4.86165</v>
      </c>
      <c r="E31" s="3"/>
      <c r="F31" s="3">
        <v>5.3726500000000001</v>
      </c>
      <c r="G31" s="3"/>
      <c r="H31" s="3">
        <v>5.17258</v>
      </c>
      <c r="I31" s="3"/>
      <c r="J31" s="3">
        <v>4.7725099999999996</v>
      </c>
      <c r="K31" s="3"/>
      <c r="L31" s="3">
        <v>4.4440900000000001</v>
      </c>
      <c r="M31" s="3"/>
      <c r="N31" s="3">
        <v>4.4501499999999998</v>
      </c>
      <c r="O31" s="3"/>
      <c r="P31" s="3">
        <f>AVERAGE(D31,F31,H31,J31,L31,N31)</f>
        <v>4.8456049999999999</v>
      </c>
    </row>
    <row r="32" spans="1:16" ht="15" customHeight="1" x14ac:dyDescent="0.3">
      <c r="A32" s="10"/>
      <c r="B32" s="1" t="s">
        <v>9</v>
      </c>
      <c r="C32" s="3"/>
      <c r="D32" s="3">
        <v>4.9434300000000002</v>
      </c>
      <c r="E32" s="3"/>
      <c r="F32" s="3">
        <v>5.5869999999999997</v>
      </c>
      <c r="G32" s="3"/>
      <c r="H32" s="3">
        <v>5.3209299999999997</v>
      </c>
      <c r="I32" s="3"/>
      <c r="J32" s="3">
        <v>4.9447700000000001</v>
      </c>
      <c r="K32" s="3"/>
      <c r="L32" s="3">
        <v>4.6178600000000003</v>
      </c>
      <c r="M32" s="3"/>
      <c r="N32" s="3">
        <v>4.5539100000000001</v>
      </c>
      <c r="O32" s="3"/>
      <c r="P32" s="3">
        <f>AVERAGE(D32,F32,H32,J32,L32,N32)</f>
        <v>4.99465</v>
      </c>
    </row>
    <row r="33" spans="1:16" ht="15" customHeight="1" x14ac:dyDescent="0.3">
      <c r="A33" s="10"/>
      <c r="B33" s="1" t="s">
        <v>10</v>
      </c>
      <c r="C33" s="3"/>
      <c r="D33" s="3">
        <v>5.0438499999999999</v>
      </c>
      <c r="E33" s="3"/>
      <c r="F33" s="3">
        <v>5.6688400000000003</v>
      </c>
      <c r="G33" s="3"/>
      <c r="H33" s="3">
        <v>5.2460800000000001</v>
      </c>
      <c r="I33" s="3"/>
      <c r="J33" s="3">
        <v>5.0347400000000002</v>
      </c>
      <c r="K33" s="3"/>
      <c r="L33" s="3">
        <v>4.6789300000000003</v>
      </c>
      <c r="M33" s="3"/>
      <c r="N33" s="3">
        <v>4.6941699999999997</v>
      </c>
      <c r="O33" s="3"/>
      <c r="P33" s="3">
        <f>AVERAGE(D33,F33,H33,J33,L33,N33)</f>
        <v>5.0611016666666666</v>
      </c>
    </row>
    <row r="34" spans="1:16" ht="15" customHeight="1" x14ac:dyDescent="0.3">
      <c r="A34" s="10"/>
      <c r="B34" s="1" t="s">
        <v>11</v>
      </c>
      <c r="C34" s="3"/>
      <c r="D34" s="3">
        <v>5.0611499999999996</v>
      </c>
      <c r="E34" s="3"/>
      <c r="F34" s="3">
        <v>5.6457899999999999</v>
      </c>
      <c r="G34" s="3"/>
      <c r="H34" s="3">
        <v>5.3829700000000003</v>
      </c>
      <c r="I34" s="3"/>
      <c r="J34" s="3">
        <v>5.1852099999999997</v>
      </c>
      <c r="K34" s="3"/>
      <c r="L34" s="3">
        <v>4.7620899999999997</v>
      </c>
      <c r="M34" s="3"/>
      <c r="N34" s="3">
        <v>4.7435400000000003</v>
      </c>
      <c r="O34" s="3"/>
      <c r="P34" s="3">
        <f>AVERAGE(D34,F34,H34,J34,L34,N34)</f>
        <v>5.1301250000000005</v>
      </c>
    </row>
    <row r="35" spans="1:16" ht="15" customHeight="1" x14ac:dyDescent="0.3">
      <c r="A35" s="10"/>
      <c r="B35" s="2" t="s">
        <v>12</v>
      </c>
      <c r="C35" s="4"/>
      <c r="D35" s="4">
        <v>5.0952400000000004</v>
      </c>
      <c r="E35" s="4"/>
      <c r="F35" s="4">
        <v>5.5869600000000004</v>
      </c>
      <c r="G35" s="4"/>
      <c r="H35" s="4">
        <v>5.3165500000000003</v>
      </c>
      <c r="I35" s="4"/>
      <c r="J35" s="4">
        <v>5.1437799999999996</v>
      </c>
      <c r="K35" s="4"/>
      <c r="L35" s="4">
        <v>4.7247700000000004</v>
      </c>
      <c r="M35" s="4"/>
      <c r="N35" s="4">
        <v>4.7457000000000003</v>
      </c>
      <c r="O35" s="4"/>
      <c r="P35" s="4">
        <f>AVERAGE(D35,F35,H35,J35,L35,N35)</f>
        <v>5.1021666666666663</v>
      </c>
    </row>
    <row r="36" spans="1:16" ht="15" customHeigh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5" customHeight="1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5" customHeight="1" x14ac:dyDescent="0.3">
      <c r="A38" s="9" t="s">
        <v>19</v>
      </c>
      <c r="B38" s="11" t="s">
        <v>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15" customHeight="1" x14ac:dyDescent="0.3">
      <c r="A39" s="10"/>
      <c r="B39" s="12" t="s">
        <v>0</v>
      </c>
      <c r="C39" s="12" t="s">
        <v>1</v>
      </c>
      <c r="D39" s="12"/>
      <c r="E39" s="12" t="s">
        <v>2</v>
      </c>
      <c r="F39" s="12"/>
      <c r="G39" s="12" t="s">
        <v>3</v>
      </c>
      <c r="H39" s="12"/>
      <c r="I39" s="12" t="s">
        <v>4</v>
      </c>
      <c r="J39" s="12"/>
      <c r="K39" s="12" t="s">
        <v>5</v>
      </c>
      <c r="L39" s="12"/>
      <c r="M39" s="12" t="s">
        <v>6</v>
      </c>
      <c r="N39" s="12"/>
      <c r="O39" s="12" t="s">
        <v>7</v>
      </c>
      <c r="P39" s="12"/>
    </row>
    <row r="40" spans="1:16" ht="15" customHeight="1" x14ac:dyDescent="0.3">
      <c r="A40" s="10"/>
      <c r="B40" s="13"/>
      <c r="C40" s="2" t="s">
        <v>15</v>
      </c>
      <c r="D40" s="2" t="s">
        <v>16</v>
      </c>
      <c r="E40" s="2" t="s">
        <v>15</v>
      </c>
      <c r="F40" s="2" t="s">
        <v>16</v>
      </c>
      <c r="G40" s="2" t="s">
        <v>15</v>
      </c>
      <c r="H40" s="2" t="s">
        <v>16</v>
      </c>
      <c r="I40" s="2" t="s">
        <v>15</v>
      </c>
      <c r="J40" s="2" t="s">
        <v>16</v>
      </c>
      <c r="K40" s="2" t="s">
        <v>15</v>
      </c>
      <c r="L40" s="2" t="s">
        <v>16</v>
      </c>
      <c r="M40" s="2" t="s">
        <v>15</v>
      </c>
      <c r="N40" s="2" t="s">
        <v>16</v>
      </c>
      <c r="O40" s="2" t="s">
        <v>15</v>
      </c>
      <c r="P40" s="2" t="s">
        <v>16</v>
      </c>
    </row>
    <row r="41" spans="1:16" ht="15" customHeight="1" x14ac:dyDescent="0.3">
      <c r="A41" s="10"/>
      <c r="B41" s="1" t="s">
        <v>8</v>
      </c>
      <c r="C41" s="3"/>
      <c r="D41" s="3">
        <v>4.9112999999999998</v>
      </c>
      <c r="E41" s="3"/>
      <c r="F41" s="3">
        <v>5.6356099999999998</v>
      </c>
      <c r="G41" s="3"/>
      <c r="H41" s="3">
        <v>4.8936200000000003</v>
      </c>
      <c r="I41" s="3"/>
      <c r="J41" s="3">
        <v>4.73942</v>
      </c>
      <c r="K41" s="3"/>
      <c r="L41" s="3">
        <v>4.5015900000000002</v>
      </c>
      <c r="M41" s="3"/>
      <c r="N41" s="3">
        <v>4.2854000000000001</v>
      </c>
      <c r="O41" s="3"/>
      <c r="P41" s="3">
        <f>AVERAGE(D41,F41,H41,J41,L41,N41)</f>
        <v>4.8278233333333338</v>
      </c>
    </row>
    <row r="42" spans="1:16" ht="15" customHeight="1" x14ac:dyDescent="0.3">
      <c r="A42" s="10"/>
      <c r="B42" s="1" t="s">
        <v>9</v>
      </c>
      <c r="C42" s="3"/>
      <c r="D42" s="3">
        <v>5.1908099999999999</v>
      </c>
      <c r="E42" s="3"/>
      <c r="F42" s="3">
        <v>5.8610300000000004</v>
      </c>
      <c r="G42" s="3"/>
      <c r="H42" s="3">
        <v>5.2460899999999997</v>
      </c>
      <c r="I42" s="3"/>
      <c r="J42" s="3">
        <v>5.0226100000000002</v>
      </c>
      <c r="K42" s="3"/>
      <c r="L42" s="3">
        <v>4.7953200000000002</v>
      </c>
      <c r="M42" s="3"/>
      <c r="N42" s="3">
        <v>4.5627700000000004</v>
      </c>
      <c r="O42" s="3"/>
      <c r="P42" s="3">
        <f>AVERAGE(D42,F42,H42,J42,L42,N42)</f>
        <v>5.113105</v>
      </c>
    </row>
    <row r="43" spans="1:16" ht="15" customHeight="1" x14ac:dyDescent="0.3">
      <c r="A43" s="10"/>
      <c r="B43" s="1" t="s">
        <v>10</v>
      </c>
      <c r="C43" s="3"/>
      <c r="D43" s="3">
        <v>5.3713800000000003</v>
      </c>
      <c r="E43" s="3"/>
      <c r="F43" s="3">
        <v>6.0097399999999999</v>
      </c>
      <c r="G43" s="3"/>
      <c r="H43" s="3">
        <v>5.4100900000000003</v>
      </c>
      <c r="I43" s="3"/>
      <c r="J43" s="3">
        <v>5.2283900000000001</v>
      </c>
      <c r="K43" s="3"/>
      <c r="L43" s="3">
        <v>5.0531199999999998</v>
      </c>
      <c r="M43" s="3"/>
      <c r="N43" s="3">
        <v>4.7590399999999997</v>
      </c>
      <c r="O43" s="3"/>
      <c r="P43" s="3">
        <f>AVERAGE(D43,F43,H43,J43,L43,N43)</f>
        <v>5.3052933333333332</v>
      </c>
    </row>
    <row r="44" spans="1:16" ht="15" customHeight="1" x14ac:dyDescent="0.3">
      <c r="A44" s="10"/>
      <c r="B44" s="1" t="s">
        <v>11</v>
      </c>
      <c r="C44" s="3"/>
      <c r="D44" s="3">
        <v>5.45756</v>
      </c>
      <c r="E44" s="3"/>
      <c r="F44" s="3">
        <v>6.0939899999999998</v>
      </c>
      <c r="G44" s="3"/>
      <c r="H44" s="3">
        <v>5.5139899999999997</v>
      </c>
      <c r="I44" s="3"/>
      <c r="J44" s="3">
        <v>5.2473900000000002</v>
      </c>
      <c r="K44" s="3"/>
      <c r="L44" s="3">
        <v>5.1256199999999996</v>
      </c>
      <c r="M44" s="3"/>
      <c r="N44" s="3">
        <v>4.9132999999999996</v>
      </c>
      <c r="O44" s="3"/>
      <c r="P44" s="3">
        <f>AVERAGE(D44,F44,H44,J44,L44,N44)</f>
        <v>5.3919749999999995</v>
      </c>
    </row>
    <row r="45" spans="1:16" ht="15" customHeight="1" x14ac:dyDescent="0.3">
      <c r="A45" s="10"/>
      <c r="B45" s="2" t="s">
        <v>12</v>
      </c>
      <c r="C45" s="4"/>
      <c r="D45" s="4">
        <v>5.4647899999999998</v>
      </c>
      <c r="E45" s="4"/>
      <c r="F45" s="4">
        <v>6.1206399999999999</v>
      </c>
      <c r="G45" s="4"/>
      <c r="H45" s="4">
        <v>5.5117900000000004</v>
      </c>
      <c r="I45" s="4"/>
      <c r="J45" s="4">
        <v>5.2759</v>
      </c>
      <c r="K45" s="4"/>
      <c r="L45" s="4">
        <v>5.1492000000000004</v>
      </c>
      <c r="M45" s="4"/>
      <c r="N45" s="4">
        <v>4.9018199999999998</v>
      </c>
      <c r="O45" s="4"/>
      <c r="P45" s="4">
        <f>AVERAGE(D45,F45,H45,J45,L45,N45)</f>
        <v>5.4040233333333338</v>
      </c>
    </row>
    <row r="46" spans="1:16" ht="15" customHeight="1" x14ac:dyDescent="0.3">
      <c r="A46" s="10"/>
      <c r="B46" s="11" t="s">
        <v>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 ht="15" customHeight="1" x14ac:dyDescent="0.3">
      <c r="A47" s="10"/>
      <c r="B47" s="12" t="s">
        <v>0</v>
      </c>
      <c r="C47" s="12" t="s">
        <v>1</v>
      </c>
      <c r="D47" s="12"/>
      <c r="E47" s="12" t="s">
        <v>2</v>
      </c>
      <c r="F47" s="12"/>
      <c r="G47" s="12" t="s">
        <v>3</v>
      </c>
      <c r="H47" s="12"/>
      <c r="I47" s="12" t="s">
        <v>4</v>
      </c>
      <c r="J47" s="12"/>
      <c r="K47" s="12" t="s">
        <v>5</v>
      </c>
      <c r="L47" s="12"/>
      <c r="M47" s="12" t="s">
        <v>6</v>
      </c>
      <c r="N47" s="12"/>
      <c r="O47" s="12" t="s">
        <v>7</v>
      </c>
      <c r="P47" s="12"/>
    </row>
    <row r="48" spans="1:16" ht="15" customHeight="1" x14ac:dyDescent="0.3">
      <c r="A48" s="10"/>
      <c r="B48" s="13"/>
      <c r="C48" s="2" t="s">
        <v>15</v>
      </c>
      <c r="D48" s="2" t="s">
        <v>16</v>
      </c>
      <c r="E48" s="2" t="s">
        <v>15</v>
      </c>
      <c r="F48" s="2" t="s">
        <v>16</v>
      </c>
      <c r="G48" s="2" t="s">
        <v>15</v>
      </c>
      <c r="H48" s="2" t="s">
        <v>16</v>
      </c>
      <c r="I48" s="2" t="s">
        <v>15</v>
      </c>
      <c r="J48" s="2" t="s">
        <v>16</v>
      </c>
      <c r="K48" s="2" t="s">
        <v>15</v>
      </c>
      <c r="L48" s="2" t="s">
        <v>16</v>
      </c>
      <c r="M48" s="2" t="s">
        <v>15</v>
      </c>
      <c r="N48" s="2" t="s">
        <v>16</v>
      </c>
      <c r="O48" s="2" t="s">
        <v>15</v>
      </c>
      <c r="P48" s="2" t="s">
        <v>16</v>
      </c>
    </row>
    <row r="49" spans="1:16" ht="15" customHeight="1" x14ac:dyDescent="0.3">
      <c r="A49" s="10"/>
      <c r="B49" s="1" t="s">
        <v>8</v>
      </c>
      <c r="C49" s="3"/>
      <c r="D49" s="3">
        <v>4.7135199999999999</v>
      </c>
      <c r="E49" s="3"/>
      <c r="F49" s="3">
        <v>5.2773199999999996</v>
      </c>
      <c r="G49" s="3"/>
      <c r="H49" s="3">
        <v>4.9067600000000002</v>
      </c>
      <c r="I49" s="3"/>
      <c r="J49" s="3">
        <v>4.5458600000000002</v>
      </c>
      <c r="K49" s="3"/>
      <c r="L49" s="3">
        <v>4.2723300000000002</v>
      </c>
      <c r="M49" s="3"/>
      <c r="N49" s="3">
        <v>4.1690399999999999</v>
      </c>
      <c r="O49" s="3"/>
      <c r="P49" s="3">
        <f>AVERAGE(D49,F49,H49,J49,L49,N49)</f>
        <v>4.6474716666666662</v>
      </c>
    </row>
    <row r="50" spans="1:16" ht="15" customHeight="1" x14ac:dyDescent="0.3">
      <c r="A50" s="10"/>
      <c r="B50" s="1" t="s">
        <v>9</v>
      </c>
      <c r="C50" s="3"/>
      <c r="D50" s="3">
        <v>4.9095599999999999</v>
      </c>
      <c r="E50" s="3"/>
      <c r="F50" s="3">
        <v>5.5317999999999996</v>
      </c>
      <c r="G50" s="3"/>
      <c r="H50" s="3">
        <v>5.2542900000000001</v>
      </c>
      <c r="I50" s="3"/>
      <c r="J50" s="3">
        <v>4.8642599999999998</v>
      </c>
      <c r="K50" s="3"/>
      <c r="L50" s="3">
        <v>4.5571000000000002</v>
      </c>
      <c r="M50" s="3"/>
      <c r="N50" s="3">
        <v>4.4555199999999999</v>
      </c>
      <c r="O50" s="3"/>
      <c r="P50" s="3">
        <f>AVERAGE(D50,F50,H50,J50,L50,N50)</f>
        <v>4.9287549999999998</v>
      </c>
    </row>
    <row r="51" spans="1:16" ht="15" customHeight="1" x14ac:dyDescent="0.3">
      <c r="A51" s="10"/>
      <c r="B51" s="1" t="s">
        <v>10</v>
      </c>
      <c r="C51" s="3"/>
      <c r="D51" s="3">
        <v>5.0986200000000004</v>
      </c>
      <c r="E51" s="3"/>
      <c r="F51" s="3">
        <v>5.6387900000000002</v>
      </c>
      <c r="G51" s="3"/>
      <c r="H51" s="3">
        <v>5.34267</v>
      </c>
      <c r="I51" s="3"/>
      <c r="J51" s="3">
        <v>5.0380700000000003</v>
      </c>
      <c r="K51" s="3"/>
      <c r="L51" s="3">
        <v>4.8503800000000004</v>
      </c>
      <c r="M51" s="3"/>
      <c r="N51" s="3">
        <v>4.5972499999999998</v>
      </c>
      <c r="O51" s="3"/>
      <c r="P51" s="3">
        <f>AVERAGE(D51,F51,H51,J51,L51,N51)</f>
        <v>5.0942966666666676</v>
      </c>
    </row>
    <row r="52" spans="1:16" ht="15" customHeight="1" x14ac:dyDescent="0.3">
      <c r="A52" s="10"/>
      <c r="B52" s="1" t="s">
        <v>11</v>
      </c>
      <c r="C52" s="3"/>
      <c r="D52" s="3">
        <v>5.2426599999999999</v>
      </c>
      <c r="E52" s="3"/>
      <c r="F52" s="3">
        <v>5.7818800000000001</v>
      </c>
      <c r="G52" s="3"/>
      <c r="H52" s="3">
        <v>5.4486800000000004</v>
      </c>
      <c r="I52" s="3"/>
      <c r="J52" s="3">
        <v>5.1177400000000004</v>
      </c>
      <c r="K52" s="3"/>
      <c r="L52" s="3">
        <v>4.8524399999999996</v>
      </c>
      <c r="M52" s="3"/>
      <c r="N52" s="3">
        <v>4.7699400000000001</v>
      </c>
      <c r="O52" s="3"/>
      <c r="P52" s="3">
        <f>AVERAGE(D52,F52,H52,J52,L52,N52)</f>
        <v>5.2022233333333334</v>
      </c>
    </row>
    <row r="53" spans="1:16" ht="15" customHeight="1" x14ac:dyDescent="0.3">
      <c r="A53" s="10"/>
      <c r="B53" s="2" t="s">
        <v>12</v>
      </c>
      <c r="C53" s="4"/>
      <c r="D53" s="4">
        <v>5.2222999999999997</v>
      </c>
      <c r="E53" s="4"/>
      <c r="F53" s="4">
        <v>5.7977800000000004</v>
      </c>
      <c r="G53" s="4"/>
      <c r="H53" s="4">
        <v>5.4139999999999997</v>
      </c>
      <c r="I53" s="4"/>
      <c r="J53" s="4">
        <v>5.0881499999999997</v>
      </c>
      <c r="K53" s="4"/>
      <c r="L53" s="4">
        <v>4.8854499999999996</v>
      </c>
      <c r="M53" s="4"/>
      <c r="N53" s="4">
        <v>4.7302400000000002</v>
      </c>
      <c r="O53" s="4"/>
      <c r="P53" s="4">
        <f>AVERAGE(D53,F53,H53,J53,L53,N53)</f>
        <v>5.1896533333333332</v>
      </c>
    </row>
    <row r="54" spans="1:16" ht="15" customHeight="1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6" spans="1:16" ht="15" customHeight="1" x14ac:dyDescent="0.3">
      <c r="A56" s="9" t="s">
        <v>30</v>
      </c>
      <c r="B56" s="11" t="s">
        <v>13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15" customHeight="1" x14ac:dyDescent="0.3">
      <c r="A57" s="10"/>
      <c r="B57" s="12" t="s">
        <v>0</v>
      </c>
      <c r="C57" s="12" t="s">
        <v>1</v>
      </c>
      <c r="D57" s="12"/>
      <c r="E57" s="12" t="s">
        <v>2</v>
      </c>
      <c r="F57" s="12"/>
      <c r="G57" s="12" t="s">
        <v>3</v>
      </c>
      <c r="H57" s="12"/>
      <c r="I57" s="12" t="s">
        <v>4</v>
      </c>
      <c r="J57" s="12"/>
      <c r="K57" s="12" t="s">
        <v>5</v>
      </c>
      <c r="L57" s="12"/>
      <c r="M57" s="12" t="s">
        <v>6</v>
      </c>
      <c r="N57" s="12"/>
      <c r="O57" s="12" t="s">
        <v>7</v>
      </c>
      <c r="P57" s="12"/>
    </row>
    <row r="58" spans="1:16" ht="15" customHeight="1" x14ac:dyDescent="0.3">
      <c r="A58" s="10"/>
      <c r="B58" s="13"/>
      <c r="C58" s="2" t="s">
        <v>15</v>
      </c>
      <c r="D58" s="2" t="s">
        <v>16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15</v>
      </c>
      <c r="N58" s="2" t="s">
        <v>16</v>
      </c>
      <c r="O58" s="2" t="s">
        <v>15</v>
      </c>
      <c r="P58" s="2" t="s">
        <v>16</v>
      </c>
    </row>
    <row r="59" spans="1:16" ht="15" customHeight="1" x14ac:dyDescent="0.3">
      <c r="A59" s="10"/>
      <c r="B59" s="1" t="s">
        <v>31</v>
      </c>
      <c r="C59" s="3"/>
      <c r="D59" s="3">
        <v>5.2073999999999998</v>
      </c>
      <c r="E59" s="3"/>
      <c r="F59" s="3">
        <v>5.8605600000000004</v>
      </c>
      <c r="G59" s="3"/>
      <c r="H59" s="3">
        <v>5.31914</v>
      </c>
      <c r="I59" s="3"/>
      <c r="J59" s="3">
        <v>5.0819999999999999</v>
      </c>
      <c r="K59" s="3"/>
      <c r="L59" s="3">
        <v>4.8082599999999998</v>
      </c>
      <c r="M59" s="3"/>
      <c r="N59" s="3">
        <v>4.6433400000000002</v>
      </c>
      <c r="O59" s="3"/>
      <c r="P59" s="3">
        <f>AVERAGE(D59,F59,H59,J59,L59,N59)</f>
        <v>5.1534500000000003</v>
      </c>
    </row>
    <row r="60" spans="1:16" ht="15" customHeight="1" x14ac:dyDescent="0.3">
      <c r="A60" s="10"/>
      <c r="B60" s="1" t="s">
        <v>32</v>
      </c>
      <c r="C60" s="3"/>
      <c r="D60" s="3">
        <v>5.3815099999999996</v>
      </c>
      <c r="E60" s="3"/>
      <c r="F60" s="3">
        <v>6.0031100000000004</v>
      </c>
      <c r="G60" s="3"/>
      <c r="H60" s="3">
        <v>5.4532499999999997</v>
      </c>
      <c r="I60" s="3"/>
      <c r="J60" s="3">
        <v>5.3174299999999999</v>
      </c>
      <c r="K60" s="3"/>
      <c r="L60" s="3">
        <v>4.9750399999999999</v>
      </c>
      <c r="M60" s="3"/>
      <c r="N60" s="3">
        <v>4.8680300000000001</v>
      </c>
      <c r="O60" s="3"/>
      <c r="P60" s="3">
        <f>AVERAGE(D60,F60,H60,J60,L60,N60)</f>
        <v>5.3330616666666666</v>
      </c>
    </row>
    <row r="61" spans="1:16" ht="15" customHeight="1" x14ac:dyDescent="0.3">
      <c r="A61" s="10"/>
      <c r="B61" s="1" t="s">
        <v>33</v>
      </c>
      <c r="C61" s="3"/>
      <c r="D61" s="3">
        <v>5.5081300000000004</v>
      </c>
      <c r="E61" s="3"/>
      <c r="F61" s="3">
        <v>6.0905899999999997</v>
      </c>
      <c r="G61" s="3"/>
      <c r="H61" s="3">
        <v>5.5952700000000002</v>
      </c>
      <c r="I61" s="3"/>
      <c r="J61" s="3">
        <v>5.4570299999999996</v>
      </c>
      <c r="K61" s="3"/>
      <c r="L61" s="3">
        <v>5.1396499999999996</v>
      </c>
      <c r="M61" s="3"/>
      <c r="N61" s="3">
        <v>5.0198400000000003</v>
      </c>
      <c r="O61" s="3"/>
      <c r="P61" s="3">
        <f>AVERAGE(D61,F61,H61,J61,L61,N61)</f>
        <v>5.4684183333333332</v>
      </c>
    </row>
    <row r="62" spans="1:16" ht="15" customHeight="1" x14ac:dyDescent="0.3">
      <c r="A62" s="10"/>
      <c r="B62" s="1" t="s">
        <v>34</v>
      </c>
      <c r="C62" s="3"/>
      <c r="D62" s="3">
        <v>5.5651700000000002</v>
      </c>
      <c r="E62" s="3"/>
      <c r="F62" s="3">
        <v>6.1571400000000001</v>
      </c>
      <c r="G62" s="3"/>
      <c r="H62" s="3">
        <v>5.5857700000000001</v>
      </c>
      <c r="I62" s="3"/>
      <c r="J62" s="3">
        <v>5.5197099999999999</v>
      </c>
      <c r="K62" s="3"/>
      <c r="L62" s="3">
        <v>5.2210999999999999</v>
      </c>
      <c r="M62" s="3"/>
      <c r="N62" s="3">
        <v>5.1161700000000003</v>
      </c>
      <c r="O62" s="3"/>
      <c r="P62" s="3">
        <f>AVERAGE(D62,F62,H62,J62,L62,N62)</f>
        <v>5.5275099999999995</v>
      </c>
    </row>
    <row r="63" spans="1:16" ht="15" customHeight="1" x14ac:dyDescent="0.3">
      <c r="A63" s="10"/>
      <c r="B63" s="2" t="s">
        <v>35</v>
      </c>
      <c r="C63" s="4"/>
      <c r="D63" s="4">
        <v>5.5830399999999996</v>
      </c>
      <c r="E63" s="4"/>
      <c r="F63" s="4">
        <v>6.1738900000000001</v>
      </c>
      <c r="G63" s="4"/>
      <c r="H63" s="4">
        <v>5.6955600000000004</v>
      </c>
      <c r="I63" s="4"/>
      <c r="J63" s="4">
        <v>5.5742200000000004</v>
      </c>
      <c r="K63" s="4"/>
      <c r="L63" s="4">
        <v>5.2870999999999997</v>
      </c>
      <c r="M63" s="4"/>
      <c r="N63" s="4">
        <v>5.2011099999999999</v>
      </c>
      <c r="O63" s="4"/>
      <c r="P63" s="4">
        <f>AVERAGE(D63,F63,H63,J63,L63,N63)</f>
        <v>5.5858200000000009</v>
      </c>
    </row>
    <row r="64" spans="1:16" ht="15" customHeight="1" x14ac:dyDescent="0.3">
      <c r="A64" s="10"/>
      <c r="B64" s="11" t="s">
        <v>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5" customHeight="1" x14ac:dyDescent="0.3">
      <c r="A65" s="10"/>
      <c r="B65" s="12" t="s">
        <v>0</v>
      </c>
      <c r="C65" s="12" t="s">
        <v>1</v>
      </c>
      <c r="D65" s="12"/>
      <c r="E65" s="12" t="s">
        <v>2</v>
      </c>
      <c r="F65" s="12"/>
      <c r="G65" s="12" t="s">
        <v>3</v>
      </c>
      <c r="H65" s="12"/>
      <c r="I65" s="12" t="s">
        <v>4</v>
      </c>
      <c r="J65" s="12"/>
      <c r="K65" s="12" t="s">
        <v>5</v>
      </c>
      <c r="L65" s="12"/>
      <c r="M65" s="12" t="s">
        <v>6</v>
      </c>
      <c r="N65" s="12"/>
      <c r="O65" s="12" t="s">
        <v>7</v>
      </c>
      <c r="P65" s="12"/>
    </row>
    <row r="66" spans="1:16" ht="15" customHeight="1" x14ac:dyDescent="0.3">
      <c r="A66" s="10"/>
      <c r="B66" s="13"/>
      <c r="C66" s="2" t="s">
        <v>15</v>
      </c>
      <c r="D66" s="2" t="s">
        <v>16</v>
      </c>
      <c r="E66" s="2" t="s">
        <v>15</v>
      </c>
      <c r="F66" s="2" t="s">
        <v>16</v>
      </c>
      <c r="G66" s="2" t="s">
        <v>15</v>
      </c>
      <c r="H66" s="2" t="s">
        <v>16</v>
      </c>
      <c r="I66" s="2" t="s">
        <v>15</v>
      </c>
      <c r="J66" s="2" t="s">
        <v>16</v>
      </c>
      <c r="K66" s="2" t="s">
        <v>15</v>
      </c>
      <c r="L66" s="2" t="s">
        <v>16</v>
      </c>
      <c r="M66" s="2" t="s">
        <v>15</v>
      </c>
      <c r="N66" s="2" t="s">
        <v>16</v>
      </c>
      <c r="O66" s="2" t="s">
        <v>15</v>
      </c>
      <c r="P66" s="2" t="s">
        <v>16</v>
      </c>
    </row>
    <row r="67" spans="1:16" ht="15" customHeight="1" x14ac:dyDescent="0.3">
      <c r="A67" s="10"/>
      <c r="B67" s="1" t="s">
        <v>31</v>
      </c>
      <c r="C67" s="3"/>
      <c r="D67" s="3">
        <v>4.9480500000000003</v>
      </c>
      <c r="E67" s="3"/>
      <c r="F67" s="3">
        <v>5.4515700000000002</v>
      </c>
      <c r="G67" s="3"/>
      <c r="H67" s="3">
        <v>5.2034700000000003</v>
      </c>
      <c r="I67" s="3"/>
      <c r="J67" s="3">
        <v>4.9538700000000002</v>
      </c>
      <c r="K67" s="3"/>
      <c r="L67" s="3">
        <v>4.6159699999999999</v>
      </c>
      <c r="M67" s="3"/>
      <c r="N67" s="3">
        <v>4.49674</v>
      </c>
      <c r="O67" s="3"/>
      <c r="P67" s="3">
        <f>AVERAGE(D67,F67,H67,J67,L67,N67)</f>
        <v>4.9449450000000006</v>
      </c>
    </row>
    <row r="68" spans="1:16" ht="15" customHeight="1" x14ac:dyDescent="0.3">
      <c r="A68" s="10"/>
      <c r="B68" s="1" t="s">
        <v>32</v>
      </c>
      <c r="C68" s="3"/>
      <c r="D68" s="3">
        <v>5.1192900000000003</v>
      </c>
      <c r="E68" s="3"/>
      <c r="F68" s="3">
        <v>5.7098199999999997</v>
      </c>
      <c r="G68" s="3"/>
      <c r="H68" s="3">
        <v>5.4138599999999997</v>
      </c>
      <c r="I68" s="3"/>
      <c r="J68" s="3">
        <v>5.0689299999999999</v>
      </c>
      <c r="K68" s="3"/>
      <c r="L68" s="3">
        <v>4.76905</v>
      </c>
      <c r="M68" s="3"/>
      <c r="N68" s="3">
        <v>4.7179200000000003</v>
      </c>
      <c r="O68" s="3"/>
      <c r="P68" s="3">
        <f>AVERAGE(D68,F68,H68,J68,L68,N68)</f>
        <v>5.1331449999999998</v>
      </c>
    </row>
    <row r="69" spans="1:16" ht="15" customHeight="1" x14ac:dyDescent="0.3">
      <c r="A69" s="10"/>
      <c r="B69" s="1" t="s">
        <v>33</v>
      </c>
      <c r="C69" s="3"/>
      <c r="D69" s="3">
        <v>5.2209700000000003</v>
      </c>
      <c r="E69" s="3"/>
      <c r="F69" s="3">
        <v>5.8197700000000001</v>
      </c>
      <c r="G69" s="3"/>
      <c r="H69" s="3">
        <v>5.5050100000000004</v>
      </c>
      <c r="I69" s="3"/>
      <c r="J69" s="3">
        <v>5.3612900000000003</v>
      </c>
      <c r="K69" s="3"/>
      <c r="L69" s="3">
        <v>4.9223499999999998</v>
      </c>
      <c r="M69" s="3"/>
      <c r="N69" s="3">
        <v>4.8206100000000003</v>
      </c>
      <c r="O69" s="3"/>
      <c r="P69" s="3">
        <f>AVERAGE(D69,F69,H69,J69,L69,N69)</f>
        <v>5.2749999999999995</v>
      </c>
    </row>
    <row r="70" spans="1:16" ht="15" customHeight="1" x14ac:dyDescent="0.3">
      <c r="A70" s="10"/>
      <c r="B70" s="1" t="s">
        <v>34</v>
      </c>
      <c r="C70" s="3"/>
      <c r="D70" s="3">
        <v>5.2853000000000003</v>
      </c>
      <c r="E70" s="3"/>
      <c r="F70" s="3">
        <v>5.78003</v>
      </c>
      <c r="G70" s="3"/>
      <c r="H70" s="3">
        <v>5.5651999999999999</v>
      </c>
      <c r="I70" s="3"/>
      <c r="J70" s="3">
        <v>5.2809499999999998</v>
      </c>
      <c r="K70" s="3"/>
      <c r="L70" s="3">
        <v>4.9378000000000002</v>
      </c>
      <c r="M70" s="3"/>
      <c r="N70" s="3">
        <v>4.8616700000000002</v>
      </c>
      <c r="O70" s="3"/>
      <c r="P70" s="3">
        <f>AVERAGE(D70,F70,H70,J70,L70,N70)</f>
        <v>5.2851583333333334</v>
      </c>
    </row>
    <row r="71" spans="1:16" ht="15" customHeight="1" x14ac:dyDescent="0.3">
      <c r="A71" s="10"/>
      <c r="B71" s="2" t="s">
        <v>35</v>
      </c>
      <c r="C71" s="4"/>
      <c r="D71" s="4">
        <v>5.3318000000000003</v>
      </c>
      <c r="E71" s="4"/>
      <c r="F71" s="4">
        <v>5.8621400000000001</v>
      </c>
      <c r="G71" s="4"/>
      <c r="H71" s="4">
        <v>5.5247900000000003</v>
      </c>
      <c r="I71" s="4"/>
      <c r="J71" s="4">
        <v>5.3355199999999998</v>
      </c>
      <c r="K71" s="4"/>
      <c r="L71" s="4">
        <v>4.9871299999999996</v>
      </c>
      <c r="M71" s="4"/>
      <c r="N71" s="4">
        <v>5.0164600000000004</v>
      </c>
      <c r="O71" s="4"/>
      <c r="P71" s="4">
        <f>AVERAGE(D71,F71,H71,J71,L71,N71)</f>
        <v>5.3429733333333331</v>
      </c>
    </row>
    <row r="74" spans="1:16" ht="15" customHeight="1" x14ac:dyDescent="0.3">
      <c r="A74" s="9" t="s">
        <v>29</v>
      </c>
      <c r="B74" s="11" t="s">
        <v>13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5" customHeight="1" x14ac:dyDescent="0.3">
      <c r="A75" s="10"/>
      <c r="B75" s="12" t="s">
        <v>0</v>
      </c>
      <c r="C75" s="12" t="s">
        <v>1</v>
      </c>
      <c r="D75" s="12"/>
      <c r="E75" s="12" t="s">
        <v>2</v>
      </c>
      <c r="F75" s="12"/>
      <c r="G75" s="12" t="s">
        <v>3</v>
      </c>
      <c r="H75" s="12"/>
      <c r="I75" s="12" t="s">
        <v>4</v>
      </c>
      <c r="J75" s="12"/>
      <c r="K75" s="12" t="s">
        <v>5</v>
      </c>
      <c r="L75" s="12"/>
      <c r="M75" s="12" t="s">
        <v>6</v>
      </c>
      <c r="N75" s="12"/>
      <c r="O75" s="12" t="s">
        <v>7</v>
      </c>
      <c r="P75" s="12"/>
    </row>
    <row r="76" spans="1:16" ht="15" customHeight="1" x14ac:dyDescent="0.3">
      <c r="A76" s="10"/>
      <c r="B76" s="13"/>
      <c r="C76" s="2" t="s">
        <v>15</v>
      </c>
      <c r="D76" s="2" t="s">
        <v>16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 t="s">
        <v>16</v>
      </c>
      <c r="K76" s="2" t="s">
        <v>15</v>
      </c>
      <c r="L76" s="2" t="s">
        <v>16</v>
      </c>
      <c r="M76" s="2" t="s">
        <v>15</v>
      </c>
      <c r="N76" s="2" t="s">
        <v>16</v>
      </c>
      <c r="O76" s="2" t="s">
        <v>15</v>
      </c>
      <c r="P76" s="2" t="s">
        <v>16</v>
      </c>
    </row>
    <row r="77" spans="1:16" ht="15" customHeight="1" x14ac:dyDescent="0.3">
      <c r="A77" s="10"/>
      <c r="B77" s="1" t="s">
        <v>8</v>
      </c>
      <c r="C77" s="3"/>
      <c r="D77" s="3">
        <v>4.7237600000000004</v>
      </c>
      <c r="E77" s="3"/>
      <c r="F77" s="3">
        <v>5.4169700000000001</v>
      </c>
      <c r="G77" s="3"/>
      <c r="H77" s="3">
        <v>4.7933399999999997</v>
      </c>
      <c r="I77" s="3"/>
      <c r="J77" s="3">
        <v>4.5930299999999997</v>
      </c>
      <c r="K77" s="3"/>
      <c r="L77" s="3">
        <v>4.37033</v>
      </c>
      <c r="M77" s="3"/>
      <c r="N77" s="3">
        <v>4.1235600000000003</v>
      </c>
      <c r="O77" s="3"/>
      <c r="P77" s="3">
        <f>AVERAGE(D77,F77,H77,J77,L77,N77)</f>
        <v>4.6701649999999999</v>
      </c>
    </row>
    <row r="78" spans="1:16" ht="15" customHeight="1" x14ac:dyDescent="0.3">
      <c r="A78" s="10"/>
      <c r="B78" s="1" t="s">
        <v>9</v>
      </c>
      <c r="C78" s="3"/>
      <c r="D78" s="3">
        <v>4.9773500000000004</v>
      </c>
      <c r="E78" s="3"/>
      <c r="F78" s="3">
        <v>5.6767399999999997</v>
      </c>
      <c r="G78" s="3"/>
      <c r="H78" s="3">
        <v>5.0666599999999997</v>
      </c>
      <c r="I78" s="3"/>
      <c r="J78" s="3">
        <v>4.8805199999999997</v>
      </c>
      <c r="K78" s="3"/>
      <c r="L78" s="3">
        <v>4.6018600000000003</v>
      </c>
      <c r="M78" s="3"/>
      <c r="N78" s="3">
        <v>4.3956900000000001</v>
      </c>
      <c r="O78" s="3"/>
      <c r="P78" s="3">
        <f>AVERAGE(D78,F78,H78,J78,L78,N78)</f>
        <v>4.9331366666666669</v>
      </c>
    </row>
    <row r="79" spans="1:16" ht="15" customHeight="1" x14ac:dyDescent="0.3">
      <c r="A79" s="10"/>
      <c r="B79" s="1" t="s">
        <v>10</v>
      </c>
      <c r="C79" s="3"/>
      <c r="D79" s="3">
        <v>5.1006499999999999</v>
      </c>
      <c r="E79" s="3"/>
      <c r="F79" s="3">
        <v>5.8121</v>
      </c>
      <c r="G79" s="3"/>
      <c r="H79" s="3">
        <v>5.21882</v>
      </c>
      <c r="I79" s="3"/>
      <c r="J79" s="3">
        <v>5.0633699999999999</v>
      </c>
      <c r="K79" s="3"/>
      <c r="L79" s="3">
        <v>4.7288600000000001</v>
      </c>
      <c r="M79" s="3"/>
      <c r="N79" s="3">
        <v>4.5111400000000001</v>
      </c>
      <c r="O79" s="3"/>
      <c r="P79" s="3">
        <f>AVERAGE(D79,F79,H79,J79,L79,N79)</f>
        <v>5.0724900000000002</v>
      </c>
    </row>
    <row r="80" spans="1:16" ht="15" customHeight="1" x14ac:dyDescent="0.3">
      <c r="A80" s="10"/>
      <c r="B80" s="1" t="s">
        <v>11</v>
      </c>
      <c r="C80" s="3"/>
      <c r="D80" s="3">
        <v>5.1421799999999998</v>
      </c>
      <c r="E80" s="3"/>
      <c r="F80" s="3">
        <v>5.8545800000000003</v>
      </c>
      <c r="G80" s="3"/>
      <c r="H80" s="3">
        <v>5.2994899999999996</v>
      </c>
      <c r="I80" s="3"/>
      <c r="J80" s="3">
        <v>5.1080399999999999</v>
      </c>
      <c r="K80" s="3"/>
      <c r="L80" s="3">
        <v>4.7957599999999996</v>
      </c>
      <c r="M80" s="3"/>
      <c r="N80" s="3">
        <v>4.6078999999999999</v>
      </c>
      <c r="O80" s="3"/>
      <c r="P80" s="3">
        <f>AVERAGE(D80,F80,H80,J80,L80,N80)</f>
        <v>5.1346583333333333</v>
      </c>
    </row>
    <row r="81" spans="1:16" ht="15" customHeight="1" x14ac:dyDescent="0.3">
      <c r="A81" s="10"/>
      <c r="B81" s="2" t="s">
        <v>12</v>
      </c>
      <c r="C81" s="4"/>
      <c r="D81" s="4">
        <v>5.18682</v>
      </c>
      <c r="E81" s="4"/>
      <c r="F81" s="4">
        <v>5.8269299999999999</v>
      </c>
      <c r="G81" s="4"/>
      <c r="H81" s="4">
        <v>5.3310199999999996</v>
      </c>
      <c r="I81" s="4"/>
      <c r="J81" s="4">
        <v>5.1258499999999998</v>
      </c>
      <c r="K81" s="4"/>
      <c r="L81" s="4">
        <v>4.8208500000000001</v>
      </c>
      <c r="M81" s="4"/>
      <c r="N81" s="4">
        <v>4.6295500000000001</v>
      </c>
      <c r="O81" s="4"/>
      <c r="P81" s="4">
        <f>AVERAGE(D81,F81,H81,J81,L81,N81)</f>
        <v>5.1535033333333331</v>
      </c>
    </row>
    <row r="82" spans="1:16" ht="15" customHeight="1" x14ac:dyDescent="0.3">
      <c r="A82" s="10"/>
      <c r="B82" s="11" t="s">
        <v>14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ht="15" customHeight="1" x14ac:dyDescent="0.3">
      <c r="A83" s="10"/>
      <c r="B83" s="12" t="s">
        <v>0</v>
      </c>
      <c r="C83" s="12" t="s">
        <v>1</v>
      </c>
      <c r="D83" s="12"/>
      <c r="E83" s="12" t="s">
        <v>2</v>
      </c>
      <c r="F83" s="12"/>
      <c r="G83" s="12" t="s">
        <v>3</v>
      </c>
      <c r="H83" s="12"/>
      <c r="I83" s="12" t="s">
        <v>4</v>
      </c>
      <c r="J83" s="12"/>
      <c r="K83" s="12" t="s">
        <v>5</v>
      </c>
      <c r="L83" s="12"/>
      <c r="M83" s="12" t="s">
        <v>6</v>
      </c>
      <c r="N83" s="12"/>
      <c r="O83" s="12" t="s">
        <v>7</v>
      </c>
      <c r="P83" s="12"/>
    </row>
    <row r="84" spans="1:16" ht="15" customHeight="1" x14ac:dyDescent="0.3">
      <c r="A84" s="10"/>
      <c r="B84" s="13"/>
      <c r="C84" s="2" t="s">
        <v>15</v>
      </c>
      <c r="D84" s="2" t="s">
        <v>16</v>
      </c>
      <c r="E84" s="2" t="s">
        <v>15</v>
      </c>
      <c r="F84" s="2" t="s">
        <v>16</v>
      </c>
      <c r="G84" s="2" t="s">
        <v>15</v>
      </c>
      <c r="H84" s="2" t="s">
        <v>16</v>
      </c>
      <c r="I84" s="2" t="s">
        <v>15</v>
      </c>
      <c r="J84" s="2" t="s">
        <v>16</v>
      </c>
      <c r="K84" s="2" t="s">
        <v>15</v>
      </c>
      <c r="L84" s="2" t="s">
        <v>16</v>
      </c>
      <c r="M84" s="2" t="s">
        <v>15</v>
      </c>
      <c r="N84" s="2" t="s">
        <v>16</v>
      </c>
      <c r="O84" s="2" t="s">
        <v>15</v>
      </c>
      <c r="P84" s="2" t="s">
        <v>16</v>
      </c>
    </row>
    <row r="85" spans="1:16" ht="15" customHeight="1" x14ac:dyDescent="0.3">
      <c r="A85" s="10"/>
      <c r="B85" s="1" t="s">
        <v>8</v>
      </c>
      <c r="C85" s="3"/>
      <c r="D85" s="3">
        <v>4.5262000000000002</v>
      </c>
      <c r="E85" s="3"/>
      <c r="F85" s="3">
        <v>5.1717599999999999</v>
      </c>
      <c r="G85" s="3"/>
      <c r="H85" s="3">
        <v>4.7594000000000003</v>
      </c>
      <c r="I85" s="3"/>
      <c r="J85" s="3">
        <v>4.4965999999999999</v>
      </c>
      <c r="K85" s="3"/>
      <c r="L85" s="3">
        <v>4.0846099999999996</v>
      </c>
      <c r="M85" s="3"/>
      <c r="N85" s="3">
        <v>4.0165800000000003</v>
      </c>
      <c r="O85" s="3"/>
      <c r="P85" s="3">
        <f>AVERAGE(D85,F85,H85,J85,L85,N85)</f>
        <v>4.5091916666666672</v>
      </c>
    </row>
    <row r="86" spans="1:16" ht="15" customHeight="1" x14ac:dyDescent="0.3">
      <c r="A86" s="10"/>
      <c r="B86" s="1" t="s">
        <v>9</v>
      </c>
      <c r="C86" s="3"/>
      <c r="D86" s="3">
        <v>4.8009000000000004</v>
      </c>
      <c r="E86" s="3"/>
      <c r="F86" s="3">
        <v>5.3028599999999999</v>
      </c>
      <c r="G86" s="3"/>
      <c r="H86" s="3">
        <v>5.0737100000000002</v>
      </c>
      <c r="I86" s="3"/>
      <c r="J86" s="3">
        <v>4.7705099999999998</v>
      </c>
      <c r="K86" s="3"/>
      <c r="L86" s="3">
        <v>4.3765799999999997</v>
      </c>
      <c r="M86" s="3"/>
      <c r="N86" s="3">
        <v>4.1800800000000002</v>
      </c>
      <c r="O86" s="3"/>
      <c r="P86" s="3">
        <f>AVERAGE(D86,F86,H86,J86,L86,N86)</f>
        <v>4.750773333333334</v>
      </c>
    </row>
    <row r="87" spans="1:16" ht="15" customHeight="1" x14ac:dyDescent="0.3">
      <c r="A87" s="10"/>
      <c r="B87" s="1" t="s">
        <v>10</v>
      </c>
      <c r="C87" s="3"/>
      <c r="D87" s="3">
        <v>4.8427899999999999</v>
      </c>
      <c r="E87" s="3"/>
      <c r="F87" s="3">
        <v>5.4260799999999998</v>
      </c>
      <c r="G87" s="3"/>
      <c r="H87" s="3">
        <v>5.3422499999999999</v>
      </c>
      <c r="I87" s="3"/>
      <c r="J87" s="3">
        <v>4.9078900000000001</v>
      </c>
      <c r="K87" s="3"/>
      <c r="L87" s="3">
        <v>4.5387500000000003</v>
      </c>
      <c r="M87" s="3"/>
      <c r="N87" s="3">
        <v>4.3954199999999997</v>
      </c>
      <c r="O87" s="3"/>
      <c r="P87" s="3">
        <f>AVERAGE(D87,F87,H87,J87,L87,N87)</f>
        <v>4.9088633333333336</v>
      </c>
    </row>
    <row r="88" spans="1:16" ht="15" customHeight="1" x14ac:dyDescent="0.3">
      <c r="A88" s="10"/>
      <c r="B88" s="1" t="s">
        <v>11</v>
      </c>
      <c r="C88" s="3"/>
      <c r="D88" s="3">
        <v>4.9710700000000001</v>
      </c>
      <c r="E88" s="3"/>
      <c r="F88" s="3">
        <v>5.4894499999999997</v>
      </c>
      <c r="G88" s="3"/>
      <c r="H88" s="3">
        <v>5.2308899999999996</v>
      </c>
      <c r="I88" s="3"/>
      <c r="J88" s="3">
        <v>4.8858800000000002</v>
      </c>
      <c r="K88" s="3"/>
      <c r="L88" s="3">
        <v>4.5251400000000004</v>
      </c>
      <c r="M88" s="3"/>
      <c r="N88" s="3">
        <v>4.47593</v>
      </c>
      <c r="O88" s="3"/>
      <c r="P88" s="3">
        <f>AVERAGE(D88,F88,H88,J88,L88,N88)</f>
        <v>4.9297266666666664</v>
      </c>
    </row>
    <row r="89" spans="1:16" ht="15" customHeight="1" x14ac:dyDescent="0.3">
      <c r="A89" s="10"/>
      <c r="B89" s="2" t="s">
        <v>12</v>
      </c>
      <c r="C89" s="4"/>
      <c r="D89" s="4">
        <v>4.9133500000000003</v>
      </c>
      <c r="E89" s="4"/>
      <c r="F89" s="4">
        <v>5.5378100000000003</v>
      </c>
      <c r="G89" s="4"/>
      <c r="H89" s="4">
        <v>5.2631699999999997</v>
      </c>
      <c r="I89" s="4"/>
      <c r="J89" s="4">
        <v>4.8795099999999998</v>
      </c>
      <c r="K89" s="4"/>
      <c r="L89" s="4">
        <v>4.5223500000000003</v>
      </c>
      <c r="M89" s="4"/>
      <c r="N89" s="4">
        <v>4.4981600000000004</v>
      </c>
      <c r="O89" s="4"/>
      <c r="P89" s="4">
        <f>AVERAGE(D89,F89,H89,J89,L89,N89)</f>
        <v>4.9357250000000006</v>
      </c>
    </row>
    <row r="92" spans="1:16" ht="15" customHeight="1" x14ac:dyDescent="0.3">
      <c r="A92" s="9" t="s">
        <v>24</v>
      </c>
      <c r="B92" s="11" t="s">
        <v>13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spans="1:16" ht="15" customHeight="1" x14ac:dyDescent="0.3">
      <c r="A93" s="10"/>
      <c r="B93" s="12" t="s">
        <v>28</v>
      </c>
      <c r="C93" s="12" t="s">
        <v>1</v>
      </c>
      <c r="D93" s="12"/>
      <c r="E93" s="12" t="s">
        <v>2</v>
      </c>
      <c r="F93" s="12"/>
      <c r="G93" s="12" t="s">
        <v>3</v>
      </c>
      <c r="H93" s="12"/>
      <c r="I93" s="12" t="s">
        <v>4</v>
      </c>
      <c r="J93" s="12"/>
      <c r="K93" s="12" t="s">
        <v>5</v>
      </c>
      <c r="L93" s="12"/>
      <c r="M93" s="12" t="s">
        <v>6</v>
      </c>
      <c r="N93" s="12"/>
      <c r="O93" s="12" t="s">
        <v>7</v>
      </c>
      <c r="P93" s="12"/>
    </row>
    <row r="94" spans="1:16" ht="15" customHeight="1" x14ac:dyDescent="0.3">
      <c r="A94" s="10"/>
      <c r="B94" s="13"/>
      <c r="C94" s="2" t="s">
        <v>15</v>
      </c>
      <c r="D94" s="2" t="s">
        <v>16</v>
      </c>
      <c r="E94" s="2" t="s">
        <v>15</v>
      </c>
      <c r="F94" s="2" t="s">
        <v>16</v>
      </c>
      <c r="G94" s="2" t="s">
        <v>15</v>
      </c>
      <c r="H94" s="2" t="s">
        <v>16</v>
      </c>
      <c r="I94" s="2" t="s">
        <v>15</v>
      </c>
      <c r="J94" s="2" t="s">
        <v>16</v>
      </c>
      <c r="K94" s="2" t="s">
        <v>15</v>
      </c>
      <c r="L94" s="2" t="s">
        <v>16</v>
      </c>
      <c r="M94" s="2" t="s">
        <v>15</v>
      </c>
      <c r="N94" s="2" t="s">
        <v>16</v>
      </c>
      <c r="O94" s="2" t="s">
        <v>15</v>
      </c>
      <c r="P94" s="2" t="s">
        <v>16</v>
      </c>
    </row>
    <row r="95" spans="1:16" ht="15" customHeight="1" x14ac:dyDescent="0.3">
      <c r="A95" s="10"/>
      <c r="B95" s="5" t="s">
        <v>25</v>
      </c>
      <c r="C95" s="3"/>
      <c r="D95" s="3">
        <v>4.8117299999999998</v>
      </c>
      <c r="E95" s="3"/>
      <c r="F95" s="3">
        <v>5.4849600000000001</v>
      </c>
      <c r="G95" s="3"/>
      <c r="H95" s="3">
        <v>4.9283900000000003</v>
      </c>
      <c r="I95" s="3"/>
      <c r="J95" s="3">
        <v>4.6700100000000004</v>
      </c>
      <c r="K95" s="3"/>
      <c r="L95" s="3">
        <v>4.40869</v>
      </c>
      <c r="M95" s="3"/>
      <c r="N95" s="3">
        <v>4.2693899999999996</v>
      </c>
      <c r="O95" s="3"/>
      <c r="P95" s="3">
        <f>AVERAGE(D95,F95,H95,J95,L95,N95)</f>
        <v>4.7621949999999993</v>
      </c>
    </row>
    <row r="96" spans="1:16" ht="15" customHeight="1" x14ac:dyDescent="0.3">
      <c r="A96" s="10"/>
      <c r="B96" s="5" t="s">
        <v>26</v>
      </c>
      <c r="C96" s="3"/>
      <c r="D96" s="3">
        <v>4.7237600000000004</v>
      </c>
      <c r="E96" s="3"/>
      <c r="F96" s="3">
        <v>5.4169700000000001</v>
      </c>
      <c r="G96" s="3"/>
      <c r="H96" s="3">
        <v>4.7933399999999997</v>
      </c>
      <c r="I96" s="3"/>
      <c r="J96" s="3">
        <v>4.5930299999999997</v>
      </c>
      <c r="K96" s="3"/>
      <c r="L96" s="3">
        <v>4.37033</v>
      </c>
      <c r="M96" s="3"/>
      <c r="N96" s="3">
        <v>4.1235600000000003</v>
      </c>
      <c r="O96" s="3"/>
      <c r="P96" s="3">
        <f>AVERAGE(D96,F96,H96,J96,L96,N96)</f>
        <v>4.6701649999999999</v>
      </c>
    </row>
    <row r="97" spans="1:16" ht="15" customHeight="1" x14ac:dyDescent="0.3">
      <c r="A97" s="10"/>
      <c r="B97" s="5" t="s">
        <v>27</v>
      </c>
      <c r="C97" s="3"/>
      <c r="D97" s="3">
        <v>3.02467</v>
      </c>
      <c r="E97" s="3"/>
      <c r="F97" s="3">
        <v>3.1975899999999999</v>
      </c>
      <c r="G97" s="3"/>
      <c r="H97" s="3">
        <v>3.04508</v>
      </c>
      <c r="I97" s="3"/>
      <c r="J97" s="3">
        <v>3.0737199999999998</v>
      </c>
      <c r="K97" s="3"/>
      <c r="L97" s="3">
        <v>2.8365</v>
      </c>
      <c r="M97" s="3"/>
      <c r="N97" s="3">
        <v>2.9474800000000001</v>
      </c>
      <c r="O97" s="3"/>
      <c r="P97" s="3">
        <f>AVERAGE(D97,F97,H97,J97,L97,N97)</f>
        <v>3.0208399999999997</v>
      </c>
    </row>
    <row r="98" spans="1:16" ht="15" customHeight="1" x14ac:dyDescent="0.3">
      <c r="A98" s="10"/>
      <c r="B98" s="11" t="s">
        <v>14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spans="1:16" ht="15" customHeight="1" x14ac:dyDescent="0.3">
      <c r="A99" s="10"/>
      <c r="B99" s="12" t="s">
        <v>28</v>
      </c>
      <c r="C99" s="12" t="s">
        <v>1</v>
      </c>
      <c r="D99" s="12"/>
      <c r="E99" s="12" t="s">
        <v>2</v>
      </c>
      <c r="F99" s="12"/>
      <c r="G99" s="12" t="s">
        <v>3</v>
      </c>
      <c r="H99" s="12"/>
      <c r="I99" s="12" t="s">
        <v>4</v>
      </c>
      <c r="J99" s="12"/>
      <c r="K99" s="12" t="s">
        <v>5</v>
      </c>
      <c r="L99" s="12"/>
      <c r="M99" s="12" t="s">
        <v>6</v>
      </c>
      <c r="N99" s="12"/>
      <c r="O99" s="12" t="s">
        <v>7</v>
      </c>
      <c r="P99" s="12"/>
    </row>
    <row r="100" spans="1:16" ht="15" customHeight="1" x14ac:dyDescent="0.3">
      <c r="A100" s="10"/>
      <c r="B100" s="13"/>
      <c r="C100" s="2" t="s">
        <v>15</v>
      </c>
      <c r="D100" s="2" t="s">
        <v>16</v>
      </c>
      <c r="E100" s="2" t="s">
        <v>15</v>
      </c>
      <c r="F100" s="2" t="s">
        <v>16</v>
      </c>
      <c r="G100" s="2" t="s">
        <v>15</v>
      </c>
      <c r="H100" s="2" t="s">
        <v>16</v>
      </c>
      <c r="I100" s="2" t="s">
        <v>15</v>
      </c>
      <c r="J100" s="2" t="s">
        <v>16</v>
      </c>
      <c r="K100" s="2" t="s">
        <v>15</v>
      </c>
      <c r="L100" s="2" t="s">
        <v>16</v>
      </c>
      <c r="M100" s="2" t="s">
        <v>15</v>
      </c>
      <c r="N100" s="2" t="s">
        <v>16</v>
      </c>
      <c r="O100" s="2" t="s">
        <v>15</v>
      </c>
      <c r="P100" s="2" t="s">
        <v>16</v>
      </c>
    </row>
    <row r="101" spans="1:16" ht="15" customHeight="1" x14ac:dyDescent="0.3">
      <c r="A101" s="10"/>
      <c r="B101" s="5" t="s">
        <v>25</v>
      </c>
      <c r="C101" s="3"/>
      <c r="D101" s="3">
        <v>4.5697099999999997</v>
      </c>
      <c r="E101" s="3"/>
      <c r="F101" s="3">
        <v>5.1458199999999996</v>
      </c>
      <c r="G101" s="3"/>
      <c r="H101" s="3">
        <v>4.9436099999999996</v>
      </c>
      <c r="I101" s="3"/>
      <c r="J101" s="3">
        <v>4.5331599999999996</v>
      </c>
      <c r="K101" s="3"/>
      <c r="L101" s="3">
        <v>4.25556</v>
      </c>
      <c r="M101" s="3"/>
      <c r="N101" s="3">
        <v>4.1576599999999999</v>
      </c>
      <c r="O101" s="3"/>
      <c r="P101" s="3">
        <f>AVERAGE(D101,F101,H101,J101,L101,N101)</f>
        <v>4.6009199999999995</v>
      </c>
    </row>
    <row r="102" spans="1:16" ht="15" customHeight="1" x14ac:dyDescent="0.3">
      <c r="A102" s="10"/>
      <c r="B102" s="5" t="s">
        <v>26</v>
      </c>
      <c r="C102" s="3"/>
      <c r="D102" s="3">
        <v>4.5262000000000002</v>
      </c>
      <c r="E102" s="3"/>
      <c r="F102" s="3">
        <v>5.1717599999999999</v>
      </c>
      <c r="G102" s="3"/>
      <c r="H102" s="3">
        <v>4.7594000000000003</v>
      </c>
      <c r="I102" s="3"/>
      <c r="J102" s="3">
        <v>4.4965999999999999</v>
      </c>
      <c r="K102" s="3"/>
      <c r="L102" s="3">
        <v>4.0846099999999996</v>
      </c>
      <c r="M102" s="3"/>
      <c r="N102" s="3">
        <v>4.0165800000000003</v>
      </c>
      <c r="O102" s="3"/>
      <c r="P102" s="3">
        <f>AVERAGE(D102,F102,H102,J102,L102,N102)</f>
        <v>4.5091916666666672</v>
      </c>
    </row>
    <row r="103" spans="1:16" ht="15" customHeight="1" x14ac:dyDescent="0.3">
      <c r="A103" s="10"/>
      <c r="B103" s="6" t="s">
        <v>27</v>
      </c>
      <c r="C103" s="4"/>
      <c r="D103" s="4">
        <v>2.9611100000000001</v>
      </c>
      <c r="E103" s="4"/>
      <c r="F103" s="4">
        <v>3.1002999999999998</v>
      </c>
      <c r="G103" s="4"/>
      <c r="H103" s="4">
        <v>3.0455999999999999</v>
      </c>
      <c r="I103" s="4"/>
      <c r="J103" s="4">
        <v>3.0547200000000001</v>
      </c>
      <c r="K103" s="4"/>
      <c r="L103" s="4">
        <v>2.79765</v>
      </c>
      <c r="M103" s="4"/>
      <c r="N103" s="4">
        <v>2.9202699999999999</v>
      </c>
      <c r="O103" s="4"/>
      <c r="P103" s="4">
        <f>AVERAGE(D103,F103,H103,J103,L103,N103)</f>
        <v>2.9799416666666665</v>
      </c>
    </row>
    <row r="106" spans="1:16" ht="15" customHeight="1" x14ac:dyDescent="0.3">
      <c r="A106" s="9" t="s">
        <v>20</v>
      </c>
      <c r="B106" s="11" t="s">
        <v>13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spans="1:16" ht="15" customHeight="1" x14ac:dyDescent="0.3">
      <c r="A107" s="10"/>
      <c r="B107" s="12" t="s">
        <v>28</v>
      </c>
      <c r="C107" s="12" t="s">
        <v>1</v>
      </c>
      <c r="D107" s="12"/>
      <c r="E107" s="12" t="s">
        <v>2</v>
      </c>
      <c r="F107" s="12"/>
      <c r="G107" s="12" t="s">
        <v>3</v>
      </c>
      <c r="H107" s="12"/>
      <c r="I107" s="12" t="s">
        <v>4</v>
      </c>
      <c r="J107" s="12"/>
      <c r="K107" s="12" t="s">
        <v>5</v>
      </c>
      <c r="L107" s="12"/>
      <c r="M107" s="12" t="s">
        <v>6</v>
      </c>
      <c r="N107" s="12"/>
      <c r="O107" s="12" t="s">
        <v>7</v>
      </c>
      <c r="P107" s="12"/>
    </row>
    <row r="108" spans="1:16" ht="15" customHeight="1" x14ac:dyDescent="0.3">
      <c r="A108" s="10"/>
      <c r="B108" s="13"/>
      <c r="C108" s="2" t="s">
        <v>15</v>
      </c>
      <c r="D108" s="2" t="s">
        <v>16</v>
      </c>
      <c r="E108" s="2" t="s">
        <v>15</v>
      </c>
      <c r="F108" s="2" t="s">
        <v>16</v>
      </c>
      <c r="G108" s="2" t="s">
        <v>15</v>
      </c>
      <c r="H108" s="2" t="s">
        <v>16</v>
      </c>
      <c r="I108" s="2" t="s">
        <v>15</v>
      </c>
      <c r="J108" s="2" t="s">
        <v>16</v>
      </c>
      <c r="K108" s="2" t="s">
        <v>15</v>
      </c>
      <c r="L108" s="2" t="s">
        <v>16</v>
      </c>
      <c r="M108" s="2" t="s">
        <v>15</v>
      </c>
      <c r="N108" s="2" t="s">
        <v>16</v>
      </c>
      <c r="O108" s="2" t="s">
        <v>15</v>
      </c>
      <c r="P108" s="2" t="s">
        <v>16</v>
      </c>
    </row>
    <row r="109" spans="1:16" ht="15" customHeight="1" x14ac:dyDescent="0.3">
      <c r="A109" s="10"/>
      <c r="B109" s="1" t="s">
        <v>21</v>
      </c>
      <c r="C109" s="3"/>
      <c r="D109" s="3">
        <v>5.09335</v>
      </c>
      <c r="E109" s="3"/>
      <c r="F109" s="3">
        <v>5.8246799999999999</v>
      </c>
      <c r="G109" s="3"/>
      <c r="H109" s="3">
        <v>5.1640100000000002</v>
      </c>
      <c r="I109" s="3"/>
      <c r="J109" s="3">
        <v>4.8891099999999996</v>
      </c>
      <c r="K109" s="3"/>
      <c r="L109" s="3">
        <v>4.7041199999999996</v>
      </c>
      <c r="M109" s="3"/>
      <c r="N109" s="3">
        <v>4.5401699999999998</v>
      </c>
      <c r="O109" s="3"/>
      <c r="P109" s="3">
        <f>AVERAGE(D109,F109,H109,J109,L109,N109)</f>
        <v>5.0359066666666665</v>
      </c>
    </row>
    <row r="110" spans="1:16" ht="15" customHeight="1" x14ac:dyDescent="0.3">
      <c r="A110" s="10"/>
      <c r="B110" s="1" t="s">
        <v>22</v>
      </c>
      <c r="C110" s="3"/>
      <c r="D110" s="3">
        <v>4.7492799999999997</v>
      </c>
      <c r="E110" s="3"/>
      <c r="F110" s="3">
        <v>5.5074500000000004</v>
      </c>
      <c r="G110" s="3"/>
      <c r="H110" s="3">
        <v>4.83683</v>
      </c>
      <c r="I110" s="3"/>
      <c r="J110" s="3">
        <v>4.5345500000000003</v>
      </c>
      <c r="K110" s="3"/>
      <c r="L110" s="3">
        <v>4.3890599999999997</v>
      </c>
      <c r="M110" s="3"/>
      <c r="N110" s="3">
        <v>4.0718500000000004</v>
      </c>
      <c r="O110" s="3"/>
      <c r="P110" s="3">
        <f>AVERAGE(D110,F110,H110,J110,L110,N110)</f>
        <v>4.6815033333333336</v>
      </c>
    </row>
    <row r="111" spans="1:16" ht="15" customHeight="1" x14ac:dyDescent="0.3">
      <c r="A111" s="10"/>
      <c r="B111" s="1" t="s">
        <v>23</v>
      </c>
      <c r="C111" s="3"/>
      <c r="D111" s="3">
        <v>4.3005399999999998</v>
      </c>
      <c r="E111" s="3"/>
      <c r="F111" s="3">
        <v>4.6823100000000002</v>
      </c>
      <c r="G111" s="3"/>
      <c r="H111" s="3">
        <v>4.4440400000000002</v>
      </c>
      <c r="I111" s="3"/>
      <c r="J111" s="3">
        <v>4.3711799999999998</v>
      </c>
      <c r="K111" s="3"/>
      <c r="L111" s="3">
        <v>4.0388099999999998</v>
      </c>
      <c r="M111" s="3"/>
      <c r="N111" s="3">
        <v>4.0564200000000001</v>
      </c>
      <c r="O111" s="3"/>
      <c r="P111" s="3">
        <f>AVERAGE(D111,F111,H111,J111,L111,N111)</f>
        <v>4.31555</v>
      </c>
    </row>
    <row r="112" spans="1:16" ht="15" customHeight="1" x14ac:dyDescent="0.3">
      <c r="A112" s="10"/>
      <c r="B112" s="11" t="s">
        <v>14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</row>
    <row r="113" spans="1:16" ht="15" customHeight="1" x14ac:dyDescent="0.3">
      <c r="A113" s="10"/>
      <c r="B113" s="12" t="s">
        <v>28</v>
      </c>
      <c r="C113" s="12" t="s">
        <v>1</v>
      </c>
      <c r="D113" s="12"/>
      <c r="E113" s="12" t="s">
        <v>2</v>
      </c>
      <c r="F113" s="12"/>
      <c r="G113" s="12" t="s">
        <v>3</v>
      </c>
      <c r="H113" s="12"/>
      <c r="I113" s="12" t="s">
        <v>4</v>
      </c>
      <c r="J113" s="12"/>
      <c r="K113" s="12" t="s">
        <v>5</v>
      </c>
      <c r="L113" s="12"/>
      <c r="M113" s="12" t="s">
        <v>6</v>
      </c>
      <c r="N113" s="12"/>
      <c r="O113" s="12" t="s">
        <v>7</v>
      </c>
      <c r="P113" s="12"/>
    </row>
    <row r="114" spans="1:16" ht="15" customHeight="1" x14ac:dyDescent="0.3">
      <c r="A114" s="10"/>
      <c r="B114" s="13"/>
      <c r="C114" s="2" t="s">
        <v>15</v>
      </c>
      <c r="D114" s="2" t="s">
        <v>16</v>
      </c>
      <c r="E114" s="2" t="s">
        <v>15</v>
      </c>
      <c r="F114" s="2" t="s">
        <v>16</v>
      </c>
      <c r="G114" s="2" t="s">
        <v>15</v>
      </c>
      <c r="H114" s="2" t="s">
        <v>16</v>
      </c>
      <c r="I114" s="2" t="s">
        <v>15</v>
      </c>
      <c r="J114" s="2" t="s">
        <v>16</v>
      </c>
      <c r="K114" s="2" t="s">
        <v>15</v>
      </c>
      <c r="L114" s="2" t="s">
        <v>16</v>
      </c>
      <c r="M114" s="2" t="s">
        <v>15</v>
      </c>
      <c r="N114" s="2" t="s">
        <v>16</v>
      </c>
      <c r="O114" s="2" t="s">
        <v>15</v>
      </c>
      <c r="P114" s="2" t="s">
        <v>16</v>
      </c>
    </row>
    <row r="115" spans="1:16" ht="15" customHeight="1" x14ac:dyDescent="0.3">
      <c r="A115" s="10"/>
      <c r="B115" s="1" t="s">
        <v>21</v>
      </c>
      <c r="C115" s="3"/>
      <c r="D115" s="3">
        <v>4.8830299999999998</v>
      </c>
      <c r="E115" s="3"/>
      <c r="F115" s="3">
        <v>5.4337900000000001</v>
      </c>
      <c r="G115" s="3"/>
      <c r="H115" s="3">
        <v>5.15395</v>
      </c>
      <c r="I115" s="3"/>
      <c r="J115" s="3">
        <v>4.66831</v>
      </c>
      <c r="K115" s="3"/>
      <c r="L115" s="3">
        <v>4.4721200000000003</v>
      </c>
      <c r="M115" s="3"/>
      <c r="N115" s="3">
        <v>4.3131700000000004</v>
      </c>
      <c r="O115" s="3"/>
      <c r="P115" s="3">
        <f>AVERAGE(D115,F115,H115,J115,L115,N115)</f>
        <v>4.8207283333333333</v>
      </c>
    </row>
    <row r="116" spans="1:16" ht="15" customHeight="1" x14ac:dyDescent="0.3">
      <c r="A116" s="10"/>
      <c r="B116" s="1" t="s">
        <v>22</v>
      </c>
      <c r="C116" s="3"/>
      <c r="D116" s="3">
        <v>4.5984499999999997</v>
      </c>
      <c r="E116" s="3"/>
      <c r="F116" s="3">
        <v>5.0827600000000004</v>
      </c>
      <c r="G116" s="3"/>
      <c r="H116" s="3">
        <v>4.8210600000000001</v>
      </c>
      <c r="I116" s="3"/>
      <c r="J116" s="3">
        <v>4.5414899999999996</v>
      </c>
      <c r="K116" s="3"/>
      <c r="L116" s="3">
        <v>4.1288200000000002</v>
      </c>
      <c r="M116" s="3"/>
      <c r="N116" s="3">
        <v>4.0509300000000001</v>
      </c>
      <c r="O116" s="3"/>
      <c r="P116" s="3">
        <f>AVERAGE(D116,F116,H116,J116,L116,N116)</f>
        <v>4.5372516666666671</v>
      </c>
    </row>
    <row r="117" spans="1:16" ht="15" customHeight="1" x14ac:dyDescent="0.3">
      <c r="A117" s="10"/>
      <c r="B117" s="2" t="s">
        <v>23</v>
      </c>
      <c r="C117" s="4"/>
      <c r="D117" s="4">
        <v>4.1373300000000004</v>
      </c>
      <c r="E117" s="4"/>
      <c r="F117" s="4">
        <v>4.50509</v>
      </c>
      <c r="G117" s="4"/>
      <c r="H117" s="4">
        <v>4.4094199999999999</v>
      </c>
      <c r="I117" s="4"/>
      <c r="J117" s="4">
        <v>4.2390699999999999</v>
      </c>
      <c r="K117" s="4"/>
      <c r="L117" s="4">
        <v>3.9544199999999998</v>
      </c>
      <c r="M117" s="4"/>
      <c r="N117" s="4">
        <v>3.9953799999999999</v>
      </c>
      <c r="O117" s="4"/>
      <c r="P117" s="4">
        <f>AVERAGE(D117,F117,H117,J117,L117,N117)</f>
        <v>4.2067850000000009</v>
      </c>
    </row>
  </sheetData>
  <mergeCells count="133">
    <mergeCell ref="A74:A89"/>
    <mergeCell ref="B82:P82"/>
    <mergeCell ref="B83:B84"/>
    <mergeCell ref="C83:D83"/>
    <mergeCell ref="E83:F83"/>
    <mergeCell ref="G83:H83"/>
    <mergeCell ref="I83:J83"/>
    <mergeCell ref="K83:L83"/>
    <mergeCell ref="M83:N83"/>
    <mergeCell ref="O83:P83"/>
    <mergeCell ref="B74:P74"/>
    <mergeCell ref="B75:B76"/>
    <mergeCell ref="C75:D75"/>
    <mergeCell ref="O75:P75"/>
    <mergeCell ref="E75:F75"/>
    <mergeCell ref="G75:H75"/>
    <mergeCell ref="I75:J75"/>
    <mergeCell ref="K75:L75"/>
    <mergeCell ref="M75:N75"/>
    <mergeCell ref="A2:A17"/>
    <mergeCell ref="A20:A35"/>
    <mergeCell ref="I3:J3"/>
    <mergeCell ref="B28:P28"/>
    <mergeCell ref="B29:B30"/>
    <mergeCell ref="C29:D29"/>
    <mergeCell ref="I21:J21"/>
    <mergeCell ref="K21:L21"/>
    <mergeCell ref="O29:P29"/>
    <mergeCell ref="E29:F29"/>
    <mergeCell ref="G29:H29"/>
    <mergeCell ref="I29:J29"/>
    <mergeCell ref="K11:L11"/>
    <mergeCell ref="K3:L3"/>
    <mergeCell ref="G21:H21"/>
    <mergeCell ref="M21:N21"/>
    <mergeCell ref="O21:P21"/>
    <mergeCell ref="O11:P11"/>
    <mergeCell ref="K29:L29"/>
    <mergeCell ref="M29:N29"/>
    <mergeCell ref="B2:P2"/>
    <mergeCell ref="B10:P10"/>
    <mergeCell ref="B11:B12"/>
    <mergeCell ref="C11:D11"/>
    <mergeCell ref="E11:F11"/>
    <mergeCell ref="G11:H11"/>
    <mergeCell ref="M3:N3"/>
    <mergeCell ref="O3:P3"/>
    <mergeCell ref="B3:B4"/>
    <mergeCell ref="C3:D3"/>
    <mergeCell ref="E3:F3"/>
    <mergeCell ref="G3:H3"/>
    <mergeCell ref="M11:N11"/>
    <mergeCell ref="I11:J11"/>
    <mergeCell ref="B20:P20"/>
    <mergeCell ref="B21:B22"/>
    <mergeCell ref="A38:A53"/>
    <mergeCell ref="B38:P38"/>
    <mergeCell ref="B39:B40"/>
    <mergeCell ref="C39:D39"/>
    <mergeCell ref="E39:F39"/>
    <mergeCell ref="G39:H39"/>
    <mergeCell ref="I39:J39"/>
    <mergeCell ref="K39:L39"/>
    <mergeCell ref="M39:N39"/>
    <mergeCell ref="O39:P39"/>
    <mergeCell ref="B46:P46"/>
    <mergeCell ref="B47:B48"/>
    <mergeCell ref="C47:D47"/>
    <mergeCell ref="E47:F47"/>
    <mergeCell ref="G47:H47"/>
    <mergeCell ref="I47:J47"/>
    <mergeCell ref="M47:N47"/>
    <mergeCell ref="O47:P47"/>
    <mergeCell ref="K47:L47"/>
    <mergeCell ref="C21:D21"/>
    <mergeCell ref="E21:F21"/>
    <mergeCell ref="A92:A103"/>
    <mergeCell ref="B92:P92"/>
    <mergeCell ref="B93:B94"/>
    <mergeCell ref="C93:D93"/>
    <mergeCell ref="E93:F93"/>
    <mergeCell ref="G93:H93"/>
    <mergeCell ref="I93:J93"/>
    <mergeCell ref="K93:L93"/>
    <mergeCell ref="M93:N93"/>
    <mergeCell ref="O93:P93"/>
    <mergeCell ref="B98:P98"/>
    <mergeCell ref="B99:B100"/>
    <mergeCell ref="C99:D99"/>
    <mergeCell ref="E99:F99"/>
    <mergeCell ref="G99:H99"/>
    <mergeCell ref="I99:J99"/>
    <mergeCell ref="K99:L99"/>
    <mergeCell ref="M99:N99"/>
    <mergeCell ref="O99:P99"/>
    <mergeCell ref="K113:L113"/>
    <mergeCell ref="M113:N113"/>
    <mergeCell ref="O113:P113"/>
    <mergeCell ref="A106:A117"/>
    <mergeCell ref="B106:P106"/>
    <mergeCell ref="B107:B108"/>
    <mergeCell ref="C107:D107"/>
    <mergeCell ref="E107:F107"/>
    <mergeCell ref="G107:H107"/>
    <mergeCell ref="I107:J107"/>
    <mergeCell ref="K107:L107"/>
    <mergeCell ref="M107:N107"/>
    <mergeCell ref="O107:P107"/>
    <mergeCell ref="B112:P112"/>
    <mergeCell ref="B113:B114"/>
    <mergeCell ref="C113:D113"/>
    <mergeCell ref="E113:F113"/>
    <mergeCell ref="G113:H113"/>
    <mergeCell ref="I113:J113"/>
    <mergeCell ref="A56:A71"/>
    <mergeCell ref="B56:P56"/>
    <mergeCell ref="B57:B58"/>
    <mergeCell ref="C57:D57"/>
    <mergeCell ref="E57:F57"/>
    <mergeCell ref="G57:H57"/>
    <mergeCell ref="I57:J57"/>
    <mergeCell ref="K57:L57"/>
    <mergeCell ref="M57:N57"/>
    <mergeCell ref="O57:P57"/>
    <mergeCell ref="B64:P64"/>
    <mergeCell ref="B65:B66"/>
    <mergeCell ref="C65:D65"/>
    <mergeCell ref="E65:F65"/>
    <mergeCell ref="G65:H65"/>
    <mergeCell ref="I65:J65"/>
    <mergeCell ref="K65:L65"/>
    <mergeCell ref="M65:N65"/>
    <mergeCell ref="O65:P6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461E-E0CB-471A-BB17-97A9D65353CC}">
  <dimension ref="A2:T89"/>
  <sheetViews>
    <sheetView zoomScaleNormal="100" workbookViewId="0"/>
  </sheetViews>
  <sheetFormatPr defaultColWidth="7.58203125" defaultRowHeight="15" customHeight="1" x14ac:dyDescent="0.3"/>
  <cols>
    <col min="1" max="16" width="13.58203125" style="1" customWidth="1"/>
    <col min="17" max="16384" width="7.58203125" style="1"/>
  </cols>
  <sheetData>
    <row r="2" spans="1:20" ht="15" customHeight="1" x14ac:dyDescent="0.3">
      <c r="A2" s="10" t="s">
        <v>17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R2" s="14" t="s">
        <v>37</v>
      </c>
      <c r="S2" s="14"/>
      <c r="T2" s="14"/>
    </row>
    <row r="3" spans="1:20" ht="15" customHeight="1" x14ac:dyDescent="0.3">
      <c r="A3" s="10"/>
      <c r="B3" s="12" t="s">
        <v>0</v>
      </c>
      <c r="C3" s="12" t="s">
        <v>1</v>
      </c>
      <c r="D3" s="12"/>
      <c r="E3" s="12" t="s">
        <v>2</v>
      </c>
      <c r="F3" s="12"/>
      <c r="G3" s="12" t="s">
        <v>3</v>
      </c>
      <c r="H3" s="12"/>
      <c r="I3" s="12" t="s">
        <v>4</v>
      </c>
      <c r="J3" s="12"/>
      <c r="K3" s="12" t="s">
        <v>5</v>
      </c>
      <c r="L3" s="12"/>
      <c r="M3" s="12" t="s">
        <v>6</v>
      </c>
      <c r="N3" s="12"/>
      <c r="O3" s="12" t="s">
        <v>7</v>
      </c>
      <c r="P3" s="12"/>
      <c r="R3" s="14"/>
      <c r="S3" s="14"/>
      <c r="T3" s="14"/>
    </row>
    <row r="4" spans="1:20" ht="15" customHeight="1" x14ac:dyDescent="0.3">
      <c r="A4" s="10"/>
      <c r="B4" s="13"/>
      <c r="C4" s="2" t="s">
        <v>15</v>
      </c>
      <c r="D4" s="2" t="s">
        <v>16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2" t="s">
        <v>15</v>
      </c>
      <c r="L4" s="2" t="s">
        <v>16</v>
      </c>
      <c r="M4" s="2" t="s">
        <v>15</v>
      </c>
      <c r="N4" s="2" t="s">
        <v>16</v>
      </c>
      <c r="O4" s="2" t="s">
        <v>15</v>
      </c>
      <c r="P4" s="2" t="s">
        <v>16</v>
      </c>
      <c r="R4" s="14"/>
      <c r="S4" s="14"/>
      <c r="T4" s="14"/>
    </row>
    <row r="5" spans="1:20" ht="15" customHeight="1" x14ac:dyDescent="0.3">
      <c r="A5" s="10"/>
      <c r="B5" s="1" t="s">
        <v>8</v>
      </c>
      <c r="C5" s="3"/>
      <c r="D5" s="3">
        <v>4.3631000000000002</v>
      </c>
      <c r="E5" s="3"/>
      <c r="F5" s="3">
        <v>5.2723599999999999</v>
      </c>
      <c r="G5" s="3"/>
      <c r="H5" s="3">
        <v>4.9640399999999998</v>
      </c>
      <c r="I5" s="3"/>
      <c r="J5" s="3">
        <v>4.4830199999999998</v>
      </c>
      <c r="K5" s="3"/>
      <c r="L5" s="3">
        <v>4.02501</v>
      </c>
      <c r="M5" s="3"/>
      <c r="N5" s="3">
        <v>3.6421700000000001</v>
      </c>
      <c r="O5" s="3"/>
      <c r="P5" s="3">
        <f>AVERAGE(D5,F5,H5,J5,L5,N5)</f>
        <v>4.4582833333333332</v>
      </c>
      <c r="R5" s="14"/>
      <c r="S5" s="14"/>
      <c r="T5" s="14"/>
    </row>
    <row r="6" spans="1:20" ht="15" customHeight="1" x14ac:dyDescent="0.3">
      <c r="A6" s="10"/>
      <c r="B6" s="1" t="s">
        <v>9</v>
      </c>
      <c r="C6" s="3"/>
      <c r="D6" s="3">
        <v>4.5181899999999997</v>
      </c>
      <c r="E6" s="3"/>
      <c r="F6" s="3">
        <v>5.4440900000000001</v>
      </c>
      <c r="G6" s="3"/>
      <c r="H6" s="3">
        <v>5.0273000000000003</v>
      </c>
      <c r="I6" s="3"/>
      <c r="J6" s="3">
        <v>4.7429500000000004</v>
      </c>
      <c r="K6" s="3"/>
      <c r="L6" s="3">
        <v>4.1732399999999998</v>
      </c>
      <c r="M6" s="3"/>
      <c r="N6" s="3">
        <v>3.7964799999999999</v>
      </c>
      <c r="O6" s="3"/>
      <c r="P6" s="3">
        <f>AVERAGE(D6,F6,H6,J6,L6,N6)</f>
        <v>4.6170416666666663</v>
      </c>
      <c r="R6" s="14"/>
      <c r="S6" s="14"/>
      <c r="T6" s="14"/>
    </row>
    <row r="7" spans="1:20" ht="15" customHeight="1" x14ac:dyDescent="0.3">
      <c r="A7" s="10"/>
      <c r="B7" s="1" t="s">
        <v>10</v>
      </c>
      <c r="C7" s="3"/>
      <c r="D7" s="3">
        <v>4.6383900000000002</v>
      </c>
      <c r="E7" s="3"/>
      <c r="F7" s="3">
        <v>5.6491400000000001</v>
      </c>
      <c r="G7" s="3"/>
      <c r="H7" s="3">
        <v>5.1610399999999998</v>
      </c>
      <c r="I7" s="3"/>
      <c r="J7" s="3">
        <v>4.8702199999999998</v>
      </c>
      <c r="K7" s="3"/>
      <c r="L7" s="3">
        <v>4.30246</v>
      </c>
      <c r="M7" s="3"/>
      <c r="N7" s="3">
        <v>3.8928099999999999</v>
      </c>
      <c r="O7" s="3"/>
      <c r="P7" s="3">
        <f>AVERAGE(D7,F7,H7,J7,L7,N7)</f>
        <v>4.7523433333333331</v>
      </c>
      <c r="R7" s="14"/>
      <c r="S7" s="14"/>
      <c r="T7" s="14"/>
    </row>
    <row r="8" spans="1:20" ht="15" customHeight="1" x14ac:dyDescent="0.3">
      <c r="A8" s="10"/>
      <c r="B8" s="1" t="s">
        <v>11</v>
      </c>
      <c r="C8" s="3"/>
      <c r="D8" s="3">
        <v>4.7031200000000002</v>
      </c>
      <c r="E8" s="3"/>
      <c r="F8" s="3">
        <v>5.6686100000000001</v>
      </c>
      <c r="G8" s="3"/>
      <c r="H8" s="3">
        <v>5.2423500000000001</v>
      </c>
      <c r="I8" s="3"/>
      <c r="J8" s="3">
        <v>4.8738200000000003</v>
      </c>
      <c r="K8" s="3"/>
      <c r="L8" s="3">
        <v>4.3827100000000003</v>
      </c>
      <c r="M8" s="3"/>
      <c r="N8" s="3">
        <v>3.9784999999999999</v>
      </c>
      <c r="O8" s="3"/>
      <c r="P8" s="3">
        <f>AVERAGE(D8,F8,H8,J8,L8,N8)</f>
        <v>4.8081849999999999</v>
      </c>
      <c r="R8" s="14"/>
      <c r="S8" s="14"/>
      <c r="T8" s="14"/>
    </row>
    <row r="9" spans="1:20" ht="15" customHeight="1" x14ac:dyDescent="0.3">
      <c r="A9" s="10"/>
      <c r="B9" s="2" t="s">
        <v>12</v>
      </c>
      <c r="C9" s="4"/>
      <c r="D9" s="4">
        <v>4.7287100000000004</v>
      </c>
      <c r="E9" s="4"/>
      <c r="F9" s="4">
        <v>5.7062900000000001</v>
      </c>
      <c r="G9" s="4"/>
      <c r="H9" s="4">
        <v>5.3048700000000002</v>
      </c>
      <c r="I9" s="4"/>
      <c r="J9" s="4">
        <v>4.9085299999999998</v>
      </c>
      <c r="K9" s="4"/>
      <c r="L9" s="4">
        <v>4.2626999999999997</v>
      </c>
      <c r="M9" s="4"/>
      <c r="N9" s="4">
        <v>3.9096099999999998</v>
      </c>
      <c r="O9" s="4"/>
      <c r="P9" s="3">
        <f>AVERAGE(D9,F9,H9,J9,L9,N9)</f>
        <v>4.8034516666666667</v>
      </c>
      <c r="R9" s="14"/>
      <c r="S9" s="14"/>
      <c r="T9" s="14"/>
    </row>
    <row r="10" spans="1:20" ht="15" customHeight="1" x14ac:dyDescent="0.3">
      <c r="A10" s="10"/>
      <c r="B10" s="11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R10" s="14"/>
      <c r="S10" s="14"/>
      <c r="T10" s="14"/>
    </row>
    <row r="11" spans="1:20" ht="15" customHeight="1" x14ac:dyDescent="0.3">
      <c r="A11" s="10"/>
      <c r="B11" s="12" t="s">
        <v>0</v>
      </c>
      <c r="C11" s="12" t="s">
        <v>1</v>
      </c>
      <c r="D11" s="12"/>
      <c r="E11" s="12" t="s">
        <v>2</v>
      </c>
      <c r="F11" s="12"/>
      <c r="G11" s="12" t="s">
        <v>3</v>
      </c>
      <c r="H11" s="12"/>
      <c r="I11" s="12" t="s">
        <v>4</v>
      </c>
      <c r="J11" s="12"/>
      <c r="K11" s="12" t="s">
        <v>5</v>
      </c>
      <c r="L11" s="12"/>
      <c r="M11" s="12" t="s">
        <v>6</v>
      </c>
      <c r="N11" s="12"/>
      <c r="O11" s="12" t="s">
        <v>7</v>
      </c>
      <c r="P11" s="12"/>
      <c r="R11" s="14"/>
      <c r="S11" s="14"/>
      <c r="T11" s="14"/>
    </row>
    <row r="12" spans="1:20" ht="15" customHeight="1" x14ac:dyDescent="0.3">
      <c r="A12" s="10"/>
      <c r="B12" s="13"/>
      <c r="C12" s="2" t="s">
        <v>15</v>
      </c>
      <c r="D12" s="2" t="s">
        <v>16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  <c r="M12" s="2" t="s">
        <v>15</v>
      </c>
      <c r="N12" s="2" t="s">
        <v>16</v>
      </c>
      <c r="O12" s="2" t="s">
        <v>15</v>
      </c>
      <c r="P12" s="2" t="s">
        <v>16</v>
      </c>
      <c r="R12" s="14"/>
      <c r="S12" s="14"/>
      <c r="T12" s="14"/>
    </row>
    <row r="13" spans="1:20" ht="15" customHeight="1" x14ac:dyDescent="0.3">
      <c r="A13" s="10"/>
      <c r="B13" s="1" t="s">
        <v>8</v>
      </c>
      <c r="C13" s="3"/>
      <c r="D13" s="3">
        <v>3.9840499999999999</v>
      </c>
      <c r="E13" s="3"/>
      <c r="F13" s="3">
        <v>5.0627300000000002</v>
      </c>
      <c r="G13" s="3"/>
      <c r="H13" s="3">
        <v>4.6909099999999997</v>
      </c>
      <c r="I13" s="3"/>
      <c r="J13" s="3">
        <v>4.3232900000000001</v>
      </c>
      <c r="K13" s="3"/>
      <c r="L13" s="3">
        <v>3.6934200000000001</v>
      </c>
      <c r="M13" s="3"/>
      <c r="N13" s="3">
        <v>3.4621200000000001</v>
      </c>
      <c r="O13" s="3"/>
      <c r="P13" s="3">
        <f>AVERAGE(D13,F13,H13,J13,L13,N13)</f>
        <v>4.2027533333333329</v>
      </c>
      <c r="R13" s="14"/>
      <c r="S13" s="14"/>
      <c r="T13" s="14"/>
    </row>
    <row r="14" spans="1:20" ht="15" customHeight="1" x14ac:dyDescent="0.3">
      <c r="A14" s="10"/>
      <c r="B14" s="1" t="s">
        <v>9</v>
      </c>
      <c r="C14" s="3"/>
      <c r="D14" s="3">
        <v>4.1424500000000002</v>
      </c>
      <c r="E14" s="3"/>
      <c r="F14" s="3">
        <v>5.1456499999999998</v>
      </c>
      <c r="G14" s="3"/>
      <c r="H14" s="3">
        <v>4.81839</v>
      </c>
      <c r="I14" s="3"/>
      <c r="J14" s="3">
        <v>4.3048999999999999</v>
      </c>
      <c r="K14" s="3"/>
      <c r="L14" s="3">
        <v>3.92584</v>
      </c>
      <c r="M14" s="3"/>
      <c r="N14" s="3">
        <v>3.5759300000000001</v>
      </c>
      <c r="O14" s="3"/>
      <c r="P14" s="3">
        <f>AVERAGE(D14,F14,H14,J14,L14,N14)</f>
        <v>4.3188599999999999</v>
      </c>
      <c r="R14" s="14"/>
      <c r="S14" s="14"/>
      <c r="T14" s="14"/>
    </row>
    <row r="15" spans="1:20" ht="15" customHeight="1" x14ac:dyDescent="0.3">
      <c r="A15" s="10"/>
      <c r="B15" s="1" t="s">
        <v>10</v>
      </c>
      <c r="C15" s="3"/>
      <c r="D15" s="3">
        <v>4.2482499999999996</v>
      </c>
      <c r="E15" s="3"/>
      <c r="F15" s="3">
        <v>5.3839800000000002</v>
      </c>
      <c r="G15" s="3"/>
      <c r="H15" s="3">
        <v>4.8995899999999999</v>
      </c>
      <c r="I15" s="3"/>
      <c r="J15" s="3">
        <v>4.58439</v>
      </c>
      <c r="K15" s="3"/>
      <c r="L15" s="3">
        <v>4.0186200000000003</v>
      </c>
      <c r="M15" s="3"/>
      <c r="N15" s="3">
        <v>3.6019199999999998</v>
      </c>
      <c r="O15" s="3"/>
      <c r="P15" s="3">
        <f>AVERAGE(D15,F15,H15,J15,L15,N15)</f>
        <v>4.4561250000000001</v>
      </c>
      <c r="R15" s="14"/>
      <c r="S15" s="14"/>
      <c r="T15" s="14"/>
    </row>
    <row r="16" spans="1:20" ht="15" customHeight="1" x14ac:dyDescent="0.3">
      <c r="A16" s="10"/>
      <c r="B16" s="1" t="s">
        <v>11</v>
      </c>
      <c r="C16" s="3"/>
      <c r="D16" s="3">
        <v>4.2962100000000003</v>
      </c>
      <c r="E16" s="3"/>
      <c r="F16" s="3">
        <v>5.4276900000000001</v>
      </c>
      <c r="G16" s="3"/>
      <c r="H16" s="3">
        <v>4.9443099999999998</v>
      </c>
      <c r="I16" s="3"/>
      <c r="J16" s="3">
        <v>4.5353500000000002</v>
      </c>
      <c r="K16" s="3"/>
      <c r="L16" s="3">
        <v>4.0282400000000003</v>
      </c>
      <c r="M16" s="3"/>
      <c r="N16" s="3">
        <v>3.7635200000000002</v>
      </c>
      <c r="O16" s="3"/>
      <c r="P16" s="3">
        <f>AVERAGE(D16,F16,H16,J16,L16,N16)</f>
        <v>4.4992200000000002</v>
      </c>
      <c r="R16" s="14"/>
      <c r="S16" s="14"/>
      <c r="T16" s="14"/>
    </row>
    <row r="17" spans="1:20" ht="15" customHeight="1" x14ac:dyDescent="0.3">
      <c r="A17" s="10"/>
      <c r="B17" s="2" t="s">
        <v>12</v>
      </c>
      <c r="C17" s="4"/>
      <c r="D17" s="4">
        <v>4.2996499999999997</v>
      </c>
      <c r="E17" s="4"/>
      <c r="F17" s="4">
        <v>5.44726</v>
      </c>
      <c r="G17" s="4"/>
      <c r="H17" s="4">
        <v>5.0716599999999996</v>
      </c>
      <c r="I17" s="4"/>
      <c r="J17" s="4">
        <v>4.4807499999999996</v>
      </c>
      <c r="K17" s="4"/>
      <c r="L17" s="4">
        <v>4.0464500000000001</v>
      </c>
      <c r="M17" s="4"/>
      <c r="N17" s="4">
        <v>3.6364399999999999</v>
      </c>
      <c r="O17" s="4"/>
      <c r="P17" s="4">
        <f>AVERAGE(D17,F17,H17,J17,L17,N17)</f>
        <v>4.4970349999999994</v>
      </c>
      <c r="R17" s="14"/>
      <c r="S17" s="14"/>
      <c r="T17" s="14"/>
    </row>
    <row r="18" spans="1:20" ht="15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R18" s="14"/>
      <c r="S18" s="14"/>
      <c r="T18" s="14"/>
    </row>
    <row r="19" spans="1:20" ht="15" customHeight="1" x14ac:dyDescent="0.3">
      <c r="R19" s="14"/>
      <c r="S19" s="14"/>
      <c r="T19" s="14"/>
    </row>
    <row r="20" spans="1:20" ht="15" customHeight="1" x14ac:dyDescent="0.3">
      <c r="A20" s="10" t="s">
        <v>38</v>
      </c>
      <c r="B20" s="11" t="s">
        <v>13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R20" s="14"/>
      <c r="S20" s="14"/>
      <c r="T20" s="14"/>
    </row>
    <row r="21" spans="1:20" ht="15" customHeight="1" x14ac:dyDescent="0.3">
      <c r="A21" s="10"/>
      <c r="B21" s="12" t="s">
        <v>0</v>
      </c>
      <c r="C21" s="12" t="s">
        <v>1</v>
      </c>
      <c r="D21" s="12"/>
      <c r="E21" s="12" t="s">
        <v>2</v>
      </c>
      <c r="F21" s="12"/>
      <c r="G21" s="12" t="s">
        <v>3</v>
      </c>
      <c r="H21" s="12"/>
      <c r="I21" s="12" t="s">
        <v>4</v>
      </c>
      <c r="J21" s="12"/>
      <c r="K21" s="12" t="s">
        <v>5</v>
      </c>
      <c r="L21" s="12"/>
      <c r="M21" s="12" t="s">
        <v>6</v>
      </c>
      <c r="N21" s="12"/>
      <c r="O21" s="12" t="s">
        <v>7</v>
      </c>
      <c r="P21" s="12"/>
      <c r="R21" s="14"/>
      <c r="S21" s="14"/>
      <c r="T21" s="14"/>
    </row>
    <row r="22" spans="1:20" ht="15" customHeight="1" x14ac:dyDescent="0.3">
      <c r="A22" s="10"/>
      <c r="B22" s="13"/>
      <c r="C22" s="2" t="s">
        <v>15</v>
      </c>
      <c r="D22" s="2" t="s">
        <v>16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 t="s">
        <v>16</v>
      </c>
      <c r="K22" s="2" t="s">
        <v>15</v>
      </c>
      <c r="L22" s="2" t="s">
        <v>16</v>
      </c>
      <c r="M22" s="2" t="s">
        <v>15</v>
      </c>
      <c r="N22" s="2" t="s">
        <v>16</v>
      </c>
      <c r="O22" s="2" t="s">
        <v>15</v>
      </c>
      <c r="P22" s="2" t="s">
        <v>16</v>
      </c>
      <c r="R22" s="14"/>
      <c r="S22" s="14"/>
      <c r="T22" s="14"/>
    </row>
    <row r="23" spans="1:20" ht="15" customHeight="1" x14ac:dyDescent="0.3">
      <c r="A23" s="10"/>
      <c r="B23" s="1" t="s">
        <v>8</v>
      </c>
      <c r="C23" s="3"/>
      <c r="D23" s="3">
        <v>4.9093900000000001</v>
      </c>
      <c r="E23" s="3"/>
      <c r="F23" s="3">
        <v>6.16669</v>
      </c>
      <c r="G23" s="3"/>
      <c r="H23" s="3">
        <v>5.7668799999999996</v>
      </c>
      <c r="I23" s="3"/>
      <c r="J23" s="3">
        <v>5.1024500000000002</v>
      </c>
      <c r="K23" s="3"/>
      <c r="L23" s="3">
        <v>4.5156099999999997</v>
      </c>
      <c r="M23" s="3"/>
      <c r="N23" s="3">
        <v>3.95038</v>
      </c>
      <c r="O23" s="3"/>
      <c r="P23" s="3">
        <f>AVERAGE(D23,F23,H23,J23,L23,N23)</f>
        <v>5.0685666666666664</v>
      </c>
      <c r="R23" s="14"/>
      <c r="S23" s="14"/>
      <c r="T23" s="14"/>
    </row>
    <row r="24" spans="1:20" ht="15" customHeight="1" x14ac:dyDescent="0.3">
      <c r="A24" s="10"/>
      <c r="B24" s="1" t="s">
        <v>9</v>
      </c>
      <c r="C24" s="3"/>
      <c r="D24" s="3">
        <v>5.03796</v>
      </c>
      <c r="E24" s="3"/>
      <c r="F24" s="3">
        <v>6.3759199999999998</v>
      </c>
      <c r="G24" s="3"/>
      <c r="H24" s="3">
        <v>5.8883799999999997</v>
      </c>
      <c r="I24" s="3"/>
      <c r="J24" s="3">
        <v>5.2884599999999997</v>
      </c>
      <c r="K24" s="3"/>
      <c r="L24" s="3">
        <v>4.7176299999999998</v>
      </c>
      <c r="M24" s="3"/>
      <c r="N24" s="3">
        <v>4.1200200000000002</v>
      </c>
      <c r="O24" s="3"/>
      <c r="P24" s="3">
        <f>AVERAGE(D24,F24,H24,J24,L24,N24)</f>
        <v>5.2380616666666659</v>
      </c>
      <c r="R24" s="14"/>
      <c r="S24" s="14"/>
      <c r="T24" s="14"/>
    </row>
    <row r="25" spans="1:20" ht="15" customHeight="1" x14ac:dyDescent="0.3">
      <c r="A25" s="10"/>
      <c r="B25" s="1" t="s">
        <v>10</v>
      </c>
      <c r="C25" s="3"/>
      <c r="D25" s="3">
        <v>5.2032499999999997</v>
      </c>
      <c r="E25" s="3"/>
      <c r="F25" s="3">
        <v>6.4965200000000003</v>
      </c>
      <c r="G25" s="3"/>
      <c r="H25" s="3">
        <v>6.1082200000000002</v>
      </c>
      <c r="I25" s="3"/>
      <c r="J25" s="3">
        <v>5.42326</v>
      </c>
      <c r="K25" s="3"/>
      <c r="L25" s="3">
        <v>4.86639</v>
      </c>
      <c r="M25" s="3"/>
      <c r="N25" s="3">
        <v>4.1759399999999998</v>
      </c>
      <c r="O25" s="3"/>
      <c r="P25" s="3">
        <f>AVERAGE(D25,F25,H25,J25,L25,N25)</f>
        <v>5.3789299999999995</v>
      </c>
      <c r="R25" s="14"/>
      <c r="S25" s="14"/>
      <c r="T25" s="14"/>
    </row>
    <row r="26" spans="1:20" ht="15" customHeight="1" x14ac:dyDescent="0.3">
      <c r="A26" s="10"/>
      <c r="B26" s="1" t="s">
        <v>11</v>
      </c>
      <c r="C26" s="3"/>
      <c r="D26" s="3">
        <v>5.2596400000000001</v>
      </c>
      <c r="E26" s="3"/>
      <c r="F26" s="3">
        <v>6.5412800000000004</v>
      </c>
      <c r="G26" s="3"/>
      <c r="H26" s="3">
        <v>6.1145399999999999</v>
      </c>
      <c r="I26" s="3"/>
      <c r="J26" s="3">
        <v>5.5060799999999999</v>
      </c>
      <c r="K26" s="3"/>
      <c r="L26" s="3">
        <v>4.8705400000000001</v>
      </c>
      <c r="M26" s="3"/>
      <c r="N26" s="3">
        <v>4.2789700000000002</v>
      </c>
      <c r="O26" s="3"/>
      <c r="P26" s="3">
        <f>AVERAGE(D26,F26,H26,J26,L26,N26)</f>
        <v>5.4285083333333342</v>
      </c>
      <c r="R26" s="14"/>
      <c r="S26" s="14"/>
      <c r="T26" s="14"/>
    </row>
    <row r="27" spans="1:20" ht="15" customHeight="1" x14ac:dyDescent="0.3">
      <c r="A27" s="10"/>
      <c r="B27" s="2" t="s">
        <v>12</v>
      </c>
      <c r="C27" s="4"/>
      <c r="D27" s="4">
        <v>5.2412799999999997</v>
      </c>
      <c r="E27" s="4"/>
      <c r="F27" s="4">
        <v>6.5973699999999997</v>
      </c>
      <c r="G27" s="4"/>
      <c r="H27" s="4">
        <v>6.2436499999999997</v>
      </c>
      <c r="I27" s="4"/>
      <c r="J27" s="4">
        <v>5.4269499999999997</v>
      </c>
      <c r="K27" s="4"/>
      <c r="L27" s="4">
        <v>4.85501</v>
      </c>
      <c r="M27" s="4"/>
      <c r="N27" s="4">
        <v>4.2236799999999999</v>
      </c>
      <c r="O27" s="4"/>
      <c r="P27" s="4">
        <f>AVERAGE(D27,F27,H27,J27,L27,N27)</f>
        <v>5.4313233333333342</v>
      </c>
      <c r="R27" s="14"/>
      <c r="S27" s="14"/>
      <c r="T27" s="14"/>
    </row>
    <row r="28" spans="1:20" ht="15" customHeight="1" x14ac:dyDescent="0.3">
      <c r="A28" s="10"/>
      <c r="B28" s="11" t="s">
        <v>14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R28" s="14"/>
      <c r="S28" s="14"/>
      <c r="T28" s="14"/>
    </row>
    <row r="29" spans="1:20" ht="15" customHeight="1" x14ac:dyDescent="0.3">
      <c r="A29" s="10"/>
      <c r="B29" s="12" t="s">
        <v>0</v>
      </c>
      <c r="C29" s="12" t="s">
        <v>1</v>
      </c>
      <c r="D29" s="12"/>
      <c r="E29" s="12" t="s">
        <v>2</v>
      </c>
      <c r="F29" s="12"/>
      <c r="G29" s="12" t="s">
        <v>3</v>
      </c>
      <c r="H29" s="12"/>
      <c r="I29" s="12" t="s">
        <v>4</v>
      </c>
      <c r="J29" s="12"/>
      <c r="K29" s="12" t="s">
        <v>5</v>
      </c>
      <c r="L29" s="12"/>
      <c r="M29" s="12" t="s">
        <v>6</v>
      </c>
      <c r="N29" s="12"/>
      <c r="O29" s="12" t="s">
        <v>7</v>
      </c>
      <c r="P29" s="12"/>
      <c r="R29" s="14"/>
      <c r="S29" s="14"/>
      <c r="T29" s="14"/>
    </row>
    <row r="30" spans="1:20" ht="15" customHeight="1" x14ac:dyDescent="0.3">
      <c r="A30" s="10"/>
      <c r="B30" s="13"/>
      <c r="C30" s="2" t="s">
        <v>15</v>
      </c>
      <c r="D30" s="2" t="s">
        <v>16</v>
      </c>
      <c r="E30" s="2" t="s">
        <v>15</v>
      </c>
      <c r="F30" s="2" t="s">
        <v>16</v>
      </c>
      <c r="G30" s="2" t="s">
        <v>15</v>
      </c>
      <c r="H30" s="2" t="s">
        <v>16</v>
      </c>
      <c r="I30" s="2" t="s">
        <v>15</v>
      </c>
      <c r="J30" s="2" t="s">
        <v>16</v>
      </c>
      <c r="K30" s="2" t="s">
        <v>15</v>
      </c>
      <c r="L30" s="2" t="s">
        <v>16</v>
      </c>
      <c r="M30" s="2" t="s">
        <v>15</v>
      </c>
      <c r="N30" s="2" t="s">
        <v>16</v>
      </c>
      <c r="O30" s="2" t="s">
        <v>15</v>
      </c>
      <c r="P30" s="2" t="s">
        <v>16</v>
      </c>
      <c r="R30" s="14"/>
      <c r="S30" s="14"/>
      <c r="T30" s="14"/>
    </row>
    <row r="31" spans="1:20" ht="15" customHeight="1" x14ac:dyDescent="0.3">
      <c r="A31" s="10"/>
      <c r="B31" s="1" t="s">
        <v>8</v>
      </c>
      <c r="C31" s="3"/>
      <c r="D31" s="3">
        <v>4.4171199999999997</v>
      </c>
      <c r="E31" s="3"/>
      <c r="F31" s="3">
        <v>5.9098699999999997</v>
      </c>
      <c r="G31" s="3"/>
      <c r="H31" s="3">
        <v>5.47966</v>
      </c>
      <c r="I31" s="3"/>
      <c r="J31" s="3">
        <v>4.7360600000000002</v>
      </c>
      <c r="K31" s="3"/>
      <c r="L31" s="3">
        <v>4.1972500000000004</v>
      </c>
      <c r="M31" s="3"/>
      <c r="N31" s="3">
        <v>3.7159399999999998</v>
      </c>
      <c r="O31" s="3"/>
      <c r="P31" s="3">
        <f>AVERAGE(D31,F31,H31,J31,L31,N31)</f>
        <v>4.7426500000000003</v>
      </c>
      <c r="R31" s="14"/>
      <c r="S31" s="14"/>
      <c r="T31" s="14"/>
    </row>
    <row r="32" spans="1:20" ht="15" customHeight="1" x14ac:dyDescent="0.3">
      <c r="A32" s="10"/>
      <c r="B32" s="1" t="s">
        <v>9</v>
      </c>
      <c r="C32" s="3"/>
      <c r="D32" s="3">
        <v>4.58711</v>
      </c>
      <c r="E32" s="3"/>
      <c r="F32" s="3">
        <v>6.08108</v>
      </c>
      <c r="G32" s="3"/>
      <c r="H32" s="3">
        <v>5.6364999999999998</v>
      </c>
      <c r="I32" s="3"/>
      <c r="J32" s="3">
        <v>4.9332500000000001</v>
      </c>
      <c r="K32" s="3"/>
      <c r="L32" s="3">
        <v>4.3310000000000004</v>
      </c>
      <c r="M32" s="3"/>
      <c r="N32" s="3">
        <v>3.8146800000000001</v>
      </c>
      <c r="O32" s="3"/>
      <c r="P32" s="3">
        <f>AVERAGE(D32,F32,H32,J32,L32,N32)</f>
        <v>4.8972699999999998</v>
      </c>
      <c r="R32" s="14"/>
      <c r="S32" s="14"/>
      <c r="T32" s="14"/>
    </row>
    <row r="33" spans="1:20" ht="15" customHeight="1" x14ac:dyDescent="0.3">
      <c r="A33" s="10"/>
      <c r="B33" s="1" t="s">
        <v>10</v>
      </c>
      <c r="C33" s="3"/>
      <c r="D33" s="3">
        <v>4.6610100000000001</v>
      </c>
      <c r="E33" s="3"/>
      <c r="F33" s="3">
        <v>6.1149399999999998</v>
      </c>
      <c r="G33" s="3"/>
      <c r="H33" s="3">
        <v>5.7544300000000002</v>
      </c>
      <c r="I33" s="3"/>
      <c r="J33" s="3">
        <v>5.0990099999999998</v>
      </c>
      <c r="K33" s="3"/>
      <c r="L33" s="3">
        <v>4.4406999999999996</v>
      </c>
      <c r="M33" s="3"/>
      <c r="N33" s="3">
        <v>3.9679899999999999</v>
      </c>
      <c r="O33" s="3"/>
      <c r="P33" s="3">
        <f>AVERAGE(D33,F33,H33,J33,L33,N33)</f>
        <v>5.0063466666666665</v>
      </c>
      <c r="R33" s="14"/>
      <c r="S33" s="14"/>
      <c r="T33" s="14"/>
    </row>
    <row r="34" spans="1:20" ht="15" customHeight="1" x14ac:dyDescent="0.3">
      <c r="A34" s="10"/>
      <c r="B34" s="1" t="s">
        <v>11</v>
      </c>
      <c r="C34" s="3"/>
      <c r="D34" s="3">
        <v>4.7348999999999997</v>
      </c>
      <c r="E34" s="3"/>
      <c r="F34" s="3">
        <v>6.2387899999999998</v>
      </c>
      <c r="G34" s="3"/>
      <c r="H34" s="3">
        <v>5.7909199999999998</v>
      </c>
      <c r="I34" s="3"/>
      <c r="J34" s="3">
        <v>5.0852700000000004</v>
      </c>
      <c r="K34" s="3"/>
      <c r="L34" s="3">
        <v>4.5058999999999996</v>
      </c>
      <c r="M34" s="3"/>
      <c r="N34" s="3">
        <v>3.9577800000000001</v>
      </c>
      <c r="O34" s="3"/>
      <c r="P34" s="3">
        <f>AVERAGE(D34,F34,H34,J34,L34,N34)</f>
        <v>5.0522599999999995</v>
      </c>
      <c r="R34" s="14"/>
      <c r="S34" s="14"/>
      <c r="T34" s="14"/>
    </row>
    <row r="35" spans="1:20" ht="15" customHeight="1" x14ac:dyDescent="0.3">
      <c r="A35" s="10"/>
      <c r="B35" s="2" t="s">
        <v>12</v>
      </c>
      <c r="C35" s="4"/>
      <c r="D35" s="4">
        <v>4.7842799999999999</v>
      </c>
      <c r="E35" s="4"/>
      <c r="F35" s="4">
        <v>6.2119400000000002</v>
      </c>
      <c r="G35" s="4"/>
      <c r="H35" s="4">
        <v>5.8964100000000004</v>
      </c>
      <c r="I35" s="4"/>
      <c r="J35" s="4">
        <v>5.08866</v>
      </c>
      <c r="K35" s="4"/>
      <c r="L35" s="4">
        <v>4.4506100000000002</v>
      </c>
      <c r="M35" s="4"/>
      <c r="N35" s="4">
        <v>3.8703599999999998</v>
      </c>
      <c r="O35" s="4"/>
      <c r="P35" s="4">
        <f>AVERAGE(D35,F35,H35,J35,L35,N35)</f>
        <v>5.0503766666666676</v>
      </c>
      <c r="R35" s="14"/>
      <c r="S35" s="14"/>
      <c r="T35" s="14"/>
    </row>
    <row r="36" spans="1:20" ht="15" customHeigh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R36" s="14"/>
      <c r="S36" s="14"/>
      <c r="T36" s="14"/>
    </row>
    <row r="37" spans="1:20" ht="15" customHeight="1" x14ac:dyDescent="0.3">
      <c r="R37" s="14"/>
      <c r="S37" s="14"/>
      <c r="T37" s="14"/>
    </row>
    <row r="38" spans="1:20" ht="15" customHeight="1" x14ac:dyDescent="0.3">
      <c r="A38" s="9" t="s">
        <v>30</v>
      </c>
      <c r="B38" s="11" t="s">
        <v>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R38" s="14"/>
      <c r="S38" s="14"/>
      <c r="T38" s="14"/>
    </row>
    <row r="39" spans="1:20" ht="15" customHeight="1" x14ac:dyDescent="0.3">
      <c r="A39" s="10"/>
      <c r="B39" s="12" t="s">
        <v>0</v>
      </c>
      <c r="C39" s="12" t="s">
        <v>1</v>
      </c>
      <c r="D39" s="12"/>
      <c r="E39" s="12" t="s">
        <v>2</v>
      </c>
      <c r="F39" s="12"/>
      <c r="G39" s="12" t="s">
        <v>3</v>
      </c>
      <c r="H39" s="12"/>
      <c r="I39" s="12" t="s">
        <v>4</v>
      </c>
      <c r="J39" s="12"/>
      <c r="K39" s="12" t="s">
        <v>5</v>
      </c>
      <c r="L39" s="12"/>
      <c r="M39" s="12" t="s">
        <v>6</v>
      </c>
      <c r="N39" s="12"/>
      <c r="O39" s="12" t="s">
        <v>7</v>
      </c>
      <c r="P39" s="12"/>
      <c r="R39" s="14"/>
      <c r="S39" s="14"/>
      <c r="T39" s="14"/>
    </row>
    <row r="40" spans="1:20" ht="15" customHeight="1" x14ac:dyDescent="0.3">
      <c r="A40" s="10"/>
      <c r="B40" s="13"/>
      <c r="C40" s="2" t="s">
        <v>15</v>
      </c>
      <c r="D40" s="2" t="s">
        <v>16</v>
      </c>
      <c r="E40" s="2" t="s">
        <v>15</v>
      </c>
      <c r="F40" s="2" t="s">
        <v>16</v>
      </c>
      <c r="G40" s="2" t="s">
        <v>15</v>
      </c>
      <c r="H40" s="2" t="s">
        <v>16</v>
      </c>
      <c r="I40" s="2" t="s">
        <v>15</v>
      </c>
      <c r="J40" s="2" t="s">
        <v>16</v>
      </c>
      <c r="K40" s="2" t="s">
        <v>15</v>
      </c>
      <c r="L40" s="2" t="s">
        <v>16</v>
      </c>
      <c r="M40" s="2" t="s">
        <v>15</v>
      </c>
      <c r="N40" s="2" t="s">
        <v>16</v>
      </c>
      <c r="O40" s="2" t="s">
        <v>15</v>
      </c>
      <c r="P40" s="2" t="s">
        <v>16</v>
      </c>
      <c r="R40" s="14"/>
      <c r="S40" s="14"/>
      <c r="T40" s="14"/>
    </row>
    <row r="41" spans="1:20" ht="15" customHeight="1" x14ac:dyDescent="0.3">
      <c r="A41" s="10"/>
      <c r="B41" s="1" t="s">
        <v>40</v>
      </c>
      <c r="C41" s="3"/>
      <c r="D41" s="3">
        <v>5.1281100000000004</v>
      </c>
      <c r="E41" s="3"/>
      <c r="F41" s="3">
        <v>6.5967399999999996</v>
      </c>
      <c r="G41" s="3"/>
      <c r="H41" s="3">
        <v>6.0303000000000004</v>
      </c>
      <c r="I41" s="3"/>
      <c r="J41" s="3">
        <v>5.3832500000000003</v>
      </c>
      <c r="K41" s="3"/>
      <c r="L41" s="3">
        <v>4.6546099999999999</v>
      </c>
      <c r="M41" s="3"/>
      <c r="N41" s="3">
        <v>4.1087600000000002</v>
      </c>
      <c r="O41" s="3"/>
      <c r="P41" s="3">
        <f>AVERAGE(D41,F41,H41,J41,L41,N41)</f>
        <v>5.3169616666666668</v>
      </c>
      <c r="R41" s="14"/>
      <c r="S41" s="14"/>
      <c r="T41" s="14"/>
    </row>
    <row r="42" spans="1:20" ht="15" customHeight="1" x14ac:dyDescent="0.3">
      <c r="A42" s="10"/>
      <c r="B42" s="1" t="s">
        <v>41</v>
      </c>
      <c r="C42" s="3"/>
      <c r="D42" s="3">
        <v>5.3770699999999998</v>
      </c>
      <c r="E42" s="3"/>
      <c r="F42" s="3">
        <v>6.8782699999999997</v>
      </c>
      <c r="G42" s="3"/>
      <c r="H42" s="3">
        <v>6.2976999999999999</v>
      </c>
      <c r="I42" s="3"/>
      <c r="J42" s="3">
        <v>5.7444899999999999</v>
      </c>
      <c r="K42" s="3"/>
      <c r="L42" s="3">
        <v>5.0132099999999999</v>
      </c>
      <c r="M42" s="3"/>
      <c r="N42" s="3">
        <v>4.3860799999999998</v>
      </c>
      <c r="O42" s="3"/>
      <c r="P42" s="3">
        <f>AVERAGE(D42,F42,H42,J42,L42,N42)</f>
        <v>5.6161366666666668</v>
      </c>
      <c r="R42" s="14"/>
      <c r="S42" s="14"/>
      <c r="T42" s="14"/>
    </row>
    <row r="43" spans="1:20" ht="15" customHeight="1" x14ac:dyDescent="0.3">
      <c r="A43" s="10"/>
      <c r="B43" s="1" t="s">
        <v>42</v>
      </c>
      <c r="C43" s="3"/>
      <c r="D43" s="3">
        <v>5.5884400000000003</v>
      </c>
      <c r="E43" s="3"/>
      <c r="F43" s="3">
        <v>7.08704</v>
      </c>
      <c r="G43" s="3"/>
      <c r="H43" s="3">
        <v>6.5990099999999998</v>
      </c>
      <c r="I43" s="3"/>
      <c r="J43" s="3">
        <v>5.9165700000000001</v>
      </c>
      <c r="K43" s="3"/>
      <c r="L43" s="3">
        <v>5.1949899999999998</v>
      </c>
      <c r="M43" s="3"/>
      <c r="N43" s="3">
        <v>4.5554399999999999</v>
      </c>
      <c r="O43" s="3"/>
      <c r="P43" s="3">
        <f>AVERAGE(D43,F43,H43,J43,L43,N43)</f>
        <v>5.8235816666666667</v>
      </c>
      <c r="R43" s="14"/>
      <c r="S43" s="14"/>
      <c r="T43" s="14"/>
    </row>
    <row r="44" spans="1:20" ht="15" customHeight="1" x14ac:dyDescent="0.3">
      <c r="A44" s="10"/>
      <c r="B44" s="1" t="s">
        <v>43</v>
      </c>
      <c r="C44" s="3"/>
      <c r="D44" s="3">
        <v>5.7150499999999997</v>
      </c>
      <c r="E44" s="3"/>
      <c r="F44" s="3">
        <v>7.2029199999999998</v>
      </c>
      <c r="G44" s="3"/>
      <c r="H44" s="3">
        <v>6.7062799999999996</v>
      </c>
      <c r="I44" s="3"/>
      <c r="J44" s="3">
        <v>6.0313600000000003</v>
      </c>
      <c r="K44" s="3"/>
      <c r="L44" s="3">
        <v>5.2746899999999997</v>
      </c>
      <c r="M44" s="3"/>
      <c r="N44" s="3">
        <v>4.6651199999999999</v>
      </c>
      <c r="O44" s="3"/>
      <c r="P44" s="3">
        <f>AVERAGE(D44,F44,H44,J44,L44,N44)</f>
        <v>5.9325699999999992</v>
      </c>
      <c r="R44" s="14"/>
      <c r="S44" s="14"/>
      <c r="T44" s="14"/>
    </row>
    <row r="45" spans="1:20" ht="15" customHeight="1" x14ac:dyDescent="0.3">
      <c r="A45" s="10"/>
      <c r="B45" s="2" t="s">
        <v>44</v>
      </c>
      <c r="C45" s="4"/>
      <c r="D45" s="4">
        <v>5.7586199999999996</v>
      </c>
      <c r="E45" s="4"/>
      <c r="F45" s="4">
        <v>7.1936299999999997</v>
      </c>
      <c r="G45" s="4"/>
      <c r="H45" s="4">
        <v>6.8118600000000002</v>
      </c>
      <c r="I45" s="4"/>
      <c r="J45" s="4">
        <v>6.0483900000000004</v>
      </c>
      <c r="K45" s="4"/>
      <c r="L45" s="4">
        <v>5.2916400000000001</v>
      </c>
      <c r="M45" s="4"/>
      <c r="N45" s="4">
        <v>4.6908899999999996</v>
      </c>
      <c r="O45" s="4"/>
      <c r="P45" s="4">
        <f>AVERAGE(D45,F45,H45,J45,L45,N45)</f>
        <v>5.9658383333333331</v>
      </c>
      <c r="R45" s="14"/>
      <c r="S45" s="14"/>
      <c r="T45" s="14"/>
    </row>
    <row r="46" spans="1:20" ht="15" customHeight="1" x14ac:dyDescent="0.3">
      <c r="A46" s="10"/>
      <c r="B46" s="11" t="s">
        <v>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R46" s="14"/>
      <c r="S46" s="14"/>
      <c r="T46" s="14"/>
    </row>
    <row r="47" spans="1:20" ht="15" customHeight="1" x14ac:dyDescent="0.3">
      <c r="A47" s="10"/>
      <c r="B47" s="12" t="s">
        <v>0</v>
      </c>
      <c r="C47" s="12" t="s">
        <v>1</v>
      </c>
      <c r="D47" s="12"/>
      <c r="E47" s="12" t="s">
        <v>2</v>
      </c>
      <c r="F47" s="12"/>
      <c r="G47" s="12" t="s">
        <v>3</v>
      </c>
      <c r="H47" s="12"/>
      <c r="I47" s="12" t="s">
        <v>4</v>
      </c>
      <c r="J47" s="12"/>
      <c r="K47" s="12" t="s">
        <v>5</v>
      </c>
      <c r="L47" s="12"/>
      <c r="M47" s="12" t="s">
        <v>6</v>
      </c>
      <c r="N47" s="12"/>
      <c r="O47" s="12" t="s">
        <v>7</v>
      </c>
      <c r="P47" s="12"/>
      <c r="R47" s="14"/>
      <c r="S47" s="14"/>
      <c r="T47" s="14"/>
    </row>
    <row r="48" spans="1:20" ht="15" customHeight="1" x14ac:dyDescent="0.3">
      <c r="A48" s="10"/>
      <c r="B48" s="13"/>
      <c r="C48" s="2" t="s">
        <v>15</v>
      </c>
      <c r="D48" s="2" t="s">
        <v>16</v>
      </c>
      <c r="E48" s="2" t="s">
        <v>15</v>
      </c>
      <c r="F48" s="2" t="s">
        <v>16</v>
      </c>
      <c r="G48" s="2" t="s">
        <v>15</v>
      </c>
      <c r="H48" s="2" t="s">
        <v>16</v>
      </c>
      <c r="I48" s="2" t="s">
        <v>15</v>
      </c>
      <c r="J48" s="2" t="s">
        <v>16</v>
      </c>
      <c r="K48" s="2" t="s">
        <v>15</v>
      </c>
      <c r="L48" s="2" t="s">
        <v>16</v>
      </c>
      <c r="M48" s="2" t="s">
        <v>15</v>
      </c>
      <c r="N48" s="2" t="s">
        <v>16</v>
      </c>
      <c r="O48" s="2" t="s">
        <v>15</v>
      </c>
      <c r="P48" s="2" t="s">
        <v>16</v>
      </c>
      <c r="R48" s="14"/>
      <c r="S48" s="14"/>
      <c r="T48" s="14"/>
    </row>
    <row r="49" spans="1:20" ht="15" customHeight="1" x14ac:dyDescent="0.3">
      <c r="A49" s="10"/>
      <c r="B49" s="1" t="s">
        <v>40</v>
      </c>
      <c r="C49" s="3"/>
      <c r="D49" s="3">
        <v>4.6195399999999998</v>
      </c>
      <c r="E49" s="3"/>
      <c r="F49" s="3">
        <v>6.1778500000000003</v>
      </c>
      <c r="G49" s="3"/>
      <c r="H49" s="3">
        <v>5.6644199999999998</v>
      </c>
      <c r="I49" s="3"/>
      <c r="J49" s="3">
        <v>4.9727899999999998</v>
      </c>
      <c r="K49" s="3"/>
      <c r="L49" s="3">
        <v>4.2516499999999997</v>
      </c>
      <c r="M49" s="3"/>
      <c r="N49" s="3">
        <v>3.8186</v>
      </c>
      <c r="O49" s="3"/>
      <c r="P49" s="3">
        <f>AVERAGE(D49,F49,H49,J49,L49,N49)</f>
        <v>4.9174750000000005</v>
      </c>
      <c r="R49" s="14"/>
      <c r="S49" s="14"/>
      <c r="T49" s="14"/>
    </row>
    <row r="50" spans="1:20" ht="15" customHeight="1" x14ac:dyDescent="0.3">
      <c r="A50" s="10"/>
      <c r="B50" s="1" t="s">
        <v>41</v>
      </c>
      <c r="C50" s="3"/>
      <c r="D50" s="3">
        <v>4.80246</v>
      </c>
      <c r="E50" s="3"/>
      <c r="F50" s="3">
        <v>6.5113200000000004</v>
      </c>
      <c r="G50" s="3"/>
      <c r="H50" s="3">
        <v>5.9667000000000003</v>
      </c>
      <c r="I50" s="3"/>
      <c r="J50" s="3">
        <v>5.2817999999999996</v>
      </c>
      <c r="K50" s="3"/>
      <c r="L50" s="3">
        <v>4.5609599999999997</v>
      </c>
      <c r="M50" s="3"/>
      <c r="N50" s="3">
        <v>3.9993099999999999</v>
      </c>
      <c r="O50" s="3"/>
      <c r="P50" s="3">
        <f>AVERAGE(D50,F50,H50,J50,L50,N50)</f>
        <v>5.1870916666666673</v>
      </c>
      <c r="R50" s="14"/>
      <c r="S50" s="14"/>
      <c r="T50" s="14"/>
    </row>
    <row r="51" spans="1:20" ht="15" customHeight="1" x14ac:dyDescent="0.3">
      <c r="A51" s="10"/>
      <c r="B51" s="1" t="s">
        <v>42</v>
      </c>
      <c r="C51" s="3"/>
      <c r="D51" s="3">
        <v>5.0526200000000001</v>
      </c>
      <c r="E51" s="3"/>
      <c r="F51" s="3">
        <v>6.4544100000000002</v>
      </c>
      <c r="G51" s="3"/>
      <c r="H51" s="3">
        <v>6.3133100000000004</v>
      </c>
      <c r="I51" s="3"/>
      <c r="J51" s="3">
        <v>5.4720500000000003</v>
      </c>
      <c r="K51" s="3"/>
      <c r="L51" s="3">
        <v>4.6336500000000003</v>
      </c>
      <c r="M51" s="3"/>
      <c r="N51" s="3">
        <v>4.2481499999999999</v>
      </c>
      <c r="O51" s="3"/>
      <c r="P51" s="3">
        <f>AVERAGE(D51,F51,H51,J51,L51,N51)</f>
        <v>5.3623650000000005</v>
      </c>
      <c r="R51" s="14"/>
      <c r="S51" s="14"/>
      <c r="T51" s="14"/>
    </row>
    <row r="52" spans="1:20" ht="15" customHeight="1" x14ac:dyDescent="0.3">
      <c r="A52" s="10"/>
      <c r="B52" s="1" t="s">
        <v>43</v>
      </c>
      <c r="C52" s="3"/>
      <c r="D52" s="3">
        <v>5.1760700000000002</v>
      </c>
      <c r="E52" s="3"/>
      <c r="F52" s="3">
        <v>6.7060399999999998</v>
      </c>
      <c r="G52" s="3"/>
      <c r="H52" s="3">
        <v>6.4015500000000003</v>
      </c>
      <c r="I52" s="3"/>
      <c r="J52" s="3">
        <v>5.5596500000000004</v>
      </c>
      <c r="K52" s="3"/>
      <c r="L52" s="3">
        <v>4.7579900000000004</v>
      </c>
      <c r="M52" s="3"/>
      <c r="N52" s="3">
        <v>4.33087</v>
      </c>
      <c r="O52" s="3"/>
      <c r="P52" s="3">
        <f>AVERAGE(D52,F52,H52,J52,L52,N52)</f>
        <v>5.4886949999999999</v>
      </c>
      <c r="R52" s="14"/>
      <c r="S52" s="14"/>
      <c r="T52" s="14"/>
    </row>
    <row r="53" spans="1:20" ht="15" customHeight="1" x14ac:dyDescent="0.3">
      <c r="A53" s="10"/>
      <c r="B53" s="2" t="s">
        <v>44</v>
      </c>
      <c r="C53" s="4"/>
      <c r="D53" s="4">
        <v>5.2329600000000003</v>
      </c>
      <c r="E53" s="4"/>
      <c r="F53" s="4">
        <v>6.6994300000000004</v>
      </c>
      <c r="G53" s="4"/>
      <c r="H53" s="4">
        <v>6.5334000000000003</v>
      </c>
      <c r="I53" s="4"/>
      <c r="J53" s="4">
        <v>5.6490499999999999</v>
      </c>
      <c r="K53" s="4"/>
      <c r="L53" s="4">
        <v>4.7836100000000004</v>
      </c>
      <c r="M53" s="4"/>
      <c r="N53" s="4">
        <v>4.18377</v>
      </c>
      <c r="O53" s="4"/>
      <c r="P53" s="4">
        <f>AVERAGE(D53,F53,H53,J53,L53,N53)</f>
        <v>5.513703333333333</v>
      </c>
      <c r="R53" s="14"/>
      <c r="S53" s="14"/>
      <c r="T53" s="14"/>
    </row>
    <row r="54" spans="1:20" ht="15" customHeight="1" x14ac:dyDescent="0.3">
      <c r="R54" s="14"/>
      <c r="S54" s="14"/>
      <c r="T54" s="14"/>
    </row>
    <row r="55" spans="1:20" ht="15" customHeight="1" x14ac:dyDescent="0.3">
      <c r="R55" s="14"/>
      <c r="S55" s="14"/>
      <c r="T55" s="14"/>
    </row>
    <row r="56" spans="1:20" ht="15" customHeight="1" x14ac:dyDescent="0.3">
      <c r="A56" s="9" t="s">
        <v>39</v>
      </c>
      <c r="B56" s="11" t="s">
        <v>13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R56" s="14"/>
      <c r="S56" s="14"/>
      <c r="T56" s="14"/>
    </row>
    <row r="57" spans="1:20" ht="15" customHeight="1" x14ac:dyDescent="0.3">
      <c r="A57" s="10"/>
      <c r="B57" s="12" t="s">
        <v>0</v>
      </c>
      <c r="C57" s="12" t="s">
        <v>1</v>
      </c>
      <c r="D57" s="12"/>
      <c r="E57" s="12" t="s">
        <v>2</v>
      </c>
      <c r="F57" s="12"/>
      <c r="G57" s="12" t="s">
        <v>3</v>
      </c>
      <c r="H57" s="12"/>
      <c r="I57" s="12" t="s">
        <v>4</v>
      </c>
      <c r="J57" s="12"/>
      <c r="K57" s="12" t="s">
        <v>5</v>
      </c>
      <c r="L57" s="12"/>
      <c r="M57" s="12" t="s">
        <v>6</v>
      </c>
      <c r="N57" s="12"/>
      <c r="O57" s="12" t="s">
        <v>7</v>
      </c>
      <c r="P57" s="12"/>
      <c r="R57" s="14"/>
      <c r="S57" s="14"/>
      <c r="T57" s="14"/>
    </row>
    <row r="58" spans="1:20" ht="15" customHeight="1" x14ac:dyDescent="0.3">
      <c r="A58" s="10"/>
      <c r="B58" s="13"/>
      <c r="C58" s="2" t="s">
        <v>15</v>
      </c>
      <c r="D58" s="2" t="s">
        <v>16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15</v>
      </c>
      <c r="N58" s="2" t="s">
        <v>16</v>
      </c>
      <c r="O58" s="2" t="s">
        <v>15</v>
      </c>
      <c r="P58" s="2" t="s">
        <v>16</v>
      </c>
      <c r="R58" s="14"/>
      <c r="S58" s="14"/>
      <c r="T58" s="14"/>
    </row>
    <row r="59" spans="1:20" ht="15" customHeight="1" x14ac:dyDescent="0.3">
      <c r="A59" s="10"/>
      <c r="B59" s="1" t="s">
        <v>8</v>
      </c>
      <c r="C59" s="3"/>
      <c r="D59" s="3">
        <v>5.2170199999999998</v>
      </c>
      <c r="E59" s="3"/>
      <c r="F59" s="3">
        <v>6.7058</v>
      </c>
      <c r="G59" s="3"/>
      <c r="H59" s="3">
        <v>5.8960900000000001</v>
      </c>
      <c r="I59" s="3"/>
      <c r="J59" s="3">
        <v>5.51302</v>
      </c>
      <c r="K59" s="3"/>
      <c r="L59" s="3">
        <v>4.4889099999999997</v>
      </c>
      <c r="M59" s="3"/>
      <c r="N59" s="3">
        <v>3.9875500000000001</v>
      </c>
      <c r="O59" s="3"/>
      <c r="P59" s="3">
        <f>AVERAGE(D59,F59,H59,J59,L59,N59)</f>
        <v>5.3013983333333332</v>
      </c>
      <c r="R59" s="14"/>
      <c r="S59" s="14"/>
      <c r="T59" s="14"/>
    </row>
    <row r="60" spans="1:20" ht="15" customHeight="1" x14ac:dyDescent="0.3">
      <c r="A60" s="10"/>
      <c r="B60" s="1" t="s">
        <v>9</v>
      </c>
      <c r="C60" s="3"/>
      <c r="D60" s="3">
        <v>5.5326500000000003</v>
      </c>
      <c r="E60" s="3"/>
      <c r="F60" s="3">
        <v>6.9372800000000003</v>
      </c>
      <c r="G60" s="3"/>
      <c r="H60" s="3">
        <v>6.4316899999999997</v>
      </c>
      <c r="I60" s="3"/>
      <c r="J60" s="3">
        <v>5.9229700000000003</v>
      </c>
      <c r="K60" s="3"/>
      <c r="L60" s="3">
        <v>4.6546399999999997</v>
      </c>
      <c r="M60" s="3"/>
      <c r="N60" s="3">
        <v>4.2896900000000002</v>
      </c>
      <c r="O60" s="3"/>
      <c r="P60" s="3">
        <f>AVERAGE(D60,F60,H60,J60,L60,N60)</f>
        <v>5.6281533333333336</v>
      </c>
      <c r="R60" s="14"/>
      <c r="S60" s="14"/>
      <c r="T60" s="14"/>
    </row>
    <row r="61" spans="1:20" ht="15" customHeight="1" x14ac:dyDescent="0.3">
      <c r="A61" s="10"/>
      <c r="B61" s="1" t="s">
        <v>10</v>
      </c>
      <c r="C61" s="3"/>
      <c r="D61" s="3">
        <v>5.8452999999999999</v>
      </c>
      <c r="E61" s="3"/>
      <c r="F61" s="3">
        <v>7.30708</v>
      </c>
      <c r="G61" s="3"/>
      <c r="H61" s="3">
        <v>6.8287000000000004</v>
      </c>
      <c r="I61" s="3"/>
      <c r="J61" s="3">
        <v>6.1655600000000002</v>
      </c>
      <c r="K61" s="3"/>
      <c r="L61" s="3">
        <v>5.0092600000000003</v>
      </c>
      <c r="M61" s="3"/>
      <c r="N61" s="3">
        <v>4.5428699999999997</v>
      </c>
      <c r="O61" s="3"/>
      <c r="P61" s="3">
        <f>AVERAGE(D61,F61,H61,J61,L61,N61)</f>
        <v>5.9497950000000008</v>
      </c>
      <c r="R61" s="14"/>
      <c r="S61" s="14"/>
      <c r="T61" s="14"/>
    </row>
    <row r="62" spans="1:20" ht="15" customHeight="1" x14ac:dyDescent="0.3">
      <c r="A62" s="10"/>
      <c r="B62" s="1" t="s">
        <v>11</v>
      </c>
      <c r="C62" s="3"/>
      <c r="D62" s="3">
        <v>5.9729999999999999</v>
      </c>
      <c r="E62" s="3"/>
      <c r="F62" s="3">
        <v>7.3642000000000003</v>
      </c>
      <c r="G62" s="3"/>
      <c r="H62" s="3">
        <v>7.0712900000000003</v>
      </c>
      <c r="I62" s="3"/>
      <c r="J62" s="3">
        <v>6.2563599999999999</v>
      </c>
      <c r="K62" s="3"/>
      <c r="L62" s="3">
        <v>5.2250699999999997</v>
      </c>
      <c r="M62" s="3"/>
      <c r="N62" s="3">
        <v>4.7006600000000001</v>
      </c>
      <c r="O62" s="3"/>
      <c r="P62" s="3">
        <f>AVERAGE(D62,F62,H62,J62,L62,N62)</f>
        <v>6.0984300000000005</v>
      </c>
      <c r="R62" s="14"/>
      <c r="S62" s="14"/>
      <c r="T62" s="14"/>
    </row>
    <row r="63" spans="1:20" ht="15" customHeight="1" x14ac:dyDescent="0.3">
      <c r="A63" s="10"/>
      <c r="B63" s="2" t="s">
        <v>12</v>
      </c>
      <c r="C63" s="4"/>
      <c r="D63" s="4">
        <v>6.0232900000000003</v>
      </c>
      <c r="E63" s="4"/>
      <c r="F63" s="4">
        <v>7.4203700000000001</v>
      </c>
      <c r="G63" s="4"/>
      <c r="H63" s="4">
        <v>7.0931699999999998</v>
      </c>
      <c r="I63" s="4"/>
      <c r="J63" s="4">
        <v>6.30504</v>
      </c>
      <c r="K63" s="4"/>
      <c r="L63" s="4">
        <v>5.1756000000000002</v>
      </c>
      <c r="M63" s="4"/>
      <c r="N63" s="4">
        <v>4.7927299999999997</v>
      </c>
      <c r="O63" s="4"/>
      <c r="P63" s="4">
        <f>AVERAGE(D63,F63,H63,J63,L63,N63)</f>
        <v>6.1350333333333333</v>
      </c>
      <c r="R63" s="14"/>
      <c r="S63" s="14"/>
      <c r="T63" s="14"/>
    </row>
    <row r="64" spans="1:20" ht="15" customHeight="1" x14ac:dyDescent="0.3">
      <c r="A64" s="10"/>
      <c r="B64" s="11" t="s">
        <v>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R64" s="14"/>
      <c r="S64" s="14"/>
      <c r="T64" s="14"/>
    </row>
    <row r="65" spans="1:20" ht="15" customHeight="1" x14ac:dyDescent="0.3">
      <c r="A65" s="10"/>
      <c r="B65" s="12" t="s">
        <v>0</v>
      </c>
      <c r="C65" s="12" t="s">
        <v>1</v>
      </c>
      <c r="D65" s="12"/>
      <c r="E65" s="12" t="s">
        <v>2</v>
      </c>
      <c r="F65" s="12"/>
      <c r="G65" s="12" t="s">
        <v>3</v>
      </c>
      <c r="H65" s="12"/>
      <c r="I65" s="12" t="s">
        <v>4</v>
      </c>
      <c r="J65" s="12"/>
      <c r="K65" s="12" t="s">
        <v>5</v>
      </c>
      <c r="L65" s="12"/>
      <c r="M65" s="12" t="s">
        <v>6</v>
      </c>
      <c r="N65" s="12"/>
      <c r="O65" s="12" t="s">
        <v>7</v>
      </c>
      <c r="P65" s="12"/>
      <c r="R65" s="14"/>
      <c r="S65" s="14"/>
      <c r="T65" s="14"/>
    </row>
    <row r="66" spans="1:20" ht="15" customHeight="1" x14ac:dyDescent="0.3">
      <c r="A66" s="10"/>
      <c r="B66" s="13"/>
      <c r="C66" s="2" t="s">
        <v>15</v>
      </c>
      <c r="D66" s="2" t="s">
        <v>16</v>
      </c>
      <c r="E66" s="2" t="s">
        <v>15</v>
      </c>
      <c r="F66" s="2" t="s">
        <v>16</v>
      </c>
      <c r="G66" s="2" t="s">
        <v>15</v>
      </c>
      <c r="H66" s="2" t="s">
        <v>16</v>
      </c>
      <c r="I66" s="2" t="s">
        <v>15</v>
      </c>
      <c r="J66" s="2" t="s">
        <v>16</v>
      </c>
      <c r="K66" s="2" t="s">
        <v>15</v>
      </c>
      <c r="L66" s="2" t="s">
        <v>16</v>
      </c>
      <c r="M66" s="2" t="s">
        <v>15</v>
      </c>
      <c r="N66" s="2" t="s">
        <v>16</v>
      </c>
      <c r="O66" s="2" t="s">
        <v>15</v>
      </c>
      <c r="P66" s="2" t="s">
        <v>16</v>
      </c>
      <c r="R66" s="14"/>
      <c r="S66" s="14"/>
      <c r="T66" s="14"/>
    </row>
    <row r="67" spans="1:20" ht="15" customHeight="1" x14ac:dyDescent="0.3">
      <c r="A67" s="10"/>
      <c r="B67" s="1" t="s">
        <v>8</v>
      </c>
      <c r="C67" s="3"/>
      <c r="D67" s="3">
        <v>4.6100399999999997</v>
      </c>
      <c r="E67" s="3"/>
      <c r="F67" s="3">
        <v>6.26553</v>
      </c>
      <c r="G67" s="3"/>
      <c r="H67" s="3">
        <v>5.6264399999999997</v>
      </c>
      <c r="I67" s="3"/>
      <c r="J67" s="3">
        <v>5.0568900000000001</v>
      </c>
      <c r="K67" s="3"/>
      <c r="L67" s="3">
        <v>4.0156999999999998</v>
      </c>
      <c r="M67" s="3"/>
      <c r="N67" s="3">
        <v>3.6715399999999998</v>
      </c>
      <c r="O67" s="3"/>
      <c r="P67" s="3">
        <f>AVERAGE(D67,F67,H67,J67,L67,N67)</f>
        <v>4.8743566666666664</v>
      </c>
      <c r="R67" s="14"/>
      <c r="S67" s="14"/>
      <c r="T67" s="14"/>
    </row>
    <row r="68" spans="1:20" ht="15" customHeight="1" x14ac:dyDescent="0.3">
      <c r="A68" s="10"/>
      <c r="B68" s="1" t="s">
        <v>9</v>
      </c>
      <c r="C68" s="3"/>
      <c r="D68" s="3">
        <v>4.9540199999999999</v>
      </c>
      <c r="E68" s="3"/>
      <c r="F68" s="3">
        <v>6.5081300000000004</v>
      </c>
      <c r="G68" s="3"/>
      <c r="H68" s="3">
        <v>5.9816200000000004</v>
      </c>
      <c r="I68" s="3"/>
      <c r="J68" s="3">
        <v>5.2504499999999998</v>
      </c>
      <c r="K68" s="3"/>
      <c r="L68" s="3">
        <v>4.25</v>
      </c>
      <c r="M68" s="3"/>
      <c r="N68" s="3">
        <v>3.9525700000000001</v>
      </c>
      <c r="O68" s="3"/>
      <c r="P68" s="3">
        <f>AVERAGE(D68,F68,H68,J68,L68,N68)</f>
        <v>5.1494650000000002</v>
      </c>
      <c r="R68" s="14"/>
      <c r="S68" s="14"/>
      <c r="T68" s="14"/>
    </row>
    <row r="69" spans="1:20" ht="15" customHeight="1" x14ac:dyDescent="0.3">
      <c r="A69" s="10"/>
      <c r="B69" s="1" t="s">
        <v>10</v>
      </c>
      <c r="C69" s="3"/>
      <c r="D69" s="3">
        <v>5.1785199999999998</v>
      </c>
      <c r="E69" s="3"/>
      <c r="F69" s="3">
        <v>6.7186700000000004</v>
      </c>
      <c r="G69" s="3"/>
      <c r="H69" s="3">
        <v>6.3500199999999998</v>
      </c>
      <c r="I69" s="3"/>
      <c r="J69" s="3">
        <v>5.5468599999999997</v>
      </c>
      <c r="K69" s="3"/>
      <c r="L69" s="3">
        <v>4.5016999999999996</v>
      </c>
      <c r="M69" s="3"/>
      <c r="N69" s="3">
        <v>4.2653400000000001</v>
      </c>
      <c r="O69" s="3"/>
      <c r="P69" s="3">
        <f>AVERAGE(D69,F69,H69,J69,L69,N69)</f>
        <v>5.4268516666666669</v>
      </c>
      <c r="R69" s="14"/>
      <c r="S69" s="14"/>
      <c r="T69" s="14"/>
    </row>
    <row r="70" spans="1:20" ht="15" customHeight="1" x14ac:dyDescent="0.3">
      <c r="A70" s="10"/>
      <c r="B70" s="1" t="s">
        <v>11</v>
      </c>
      <c r="C70" s="3"/>
      <c r="D70" s="3">
        <v>5.2362000000000002</v>
      </c>
      <c r="E70" s="3"/>
      <c r="F70" s="3">
        <v>6.9116600000000004</v>
      </c>
      <c r="G70" s="3"/>
      <c r="H70" s="3">
        <v>6.6836399999999996</v>
      </c>
      <c r="I70" s="3"/>
      <c r="J70" s="3">
        <v>5.7034900000000004</v>
      </c>
      <c r="K70" s="3"/>
      <c r="L70" s="3">
        <v>4.6085099999999999</v>
      </c>
      <c r="M70" s="3"/>
      <c r="N70" s="3">
        <v>4.1947000000000001</v>
      </c>
      <c r="O70" s="3"/>
      <c r="P70" s="3">
        <f>AVERAGE(D70,F70,H70,J70,L70,N70)</f>
        <v>5.5563666666666665</v>
      </c>
      <c r="R70" s="14"/>
      <c r="S70" s="14"/>
      <c r="T70" s="14"/>
    </row>
    <row r="71" spans="1:20" ht="15" customHeight="1" x14ac:dyDescent="0.3">
      <c r="A71" s="10"/>
      <c r="B71" s="2" t="s">
        <v>12</v>
      </c>
      <c r="C71" s="4"/>
      <c r="D71" s="4">
        <v>5.3973599999999999</v>
      </c>
      <c r="E71" s="4"/>
      <c r="F71" s="4">
        <v>7.0010300000000001</v>
      </c>
      <c r="G71" s="4"/>
      <c r="H71" s="4">
        <v>6.7210599999999996</v>
      </c>
      <c r="I71" s="4"/>
      <c r="J71" s="4">
        <v>5.7859999999999996</v>
      </c>
      <c r="K71" s="4"/>
      <c r="L71" s="4">
        <v>4.6787099999999997</v>
      </c>
      <c r="M71" s="4"/>
      <c r="N71" s="4">
        <v>4.3733199999999997</v>
      </c>
      <c r="O71" s="4"/>
      <c r="P71" s="4">
        <f>AVERAGE(D71,F71,H71,J71,L71,N71)</f>
        <v>5.6595800000000009</v>
      </c>
      <c r="R71" s="14"/>
      <c r="S71" s="14"/>
      <c r="T71" s="14"/>
    </row>
    <row r="72" spans="1:20" ht="15" customHeight="1" x14ac:dyDescent="0.3">
      <c r="R72" s="7"/>
      <c r="S72" s="7"/>
      <c r="T72" s="7"/>
    </row>
    <row r="73" spans="1:20" ht="15" customHeight="1" x14ac:dyDescent="0.3">
      <c r="R73" s="7"/>
      <c r="S73" s="7"/>
      <c r="T73" s="7"/>
    </row>
    <row r="74" spans="1:20" ht="15" customHeight="1" x14ac:dyDescent="0.3">
      <c r="A74" s="9" t="s">
        <v>47</v>
      </c>
      <c r="B74" s="11" t="s">
        <v>13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20" ht="15" customHeight="1" x14ac:dyDescent="0.3">
      <c r="A75" s="10"/>
      <c r="B75" s="12" t="s">
        <v>0</v>
      </c>
      <c r="C75" s="12" t="s">
        <v>1</v>
      </c>
      <c r="D75" s="12"/>
      <c r="E75" s="12" t="s">
        <v>2</v>
      </c>
      <c r="F75" s="12"/>
      <c r="G75" s="12" t="s">
        <v>3</v>
      </c>
      <c r="H75" s="12"/>
      <c r="I75" s="12" t="s">
        <v>4</v>
      </c>
      <c r="J75" s="12"/>
      <c r="K75" s="12" t="s">
        <v>5</v>
      </c>
      <c r="L75" s="12"/>
      <c r="M75" s="12" t="s">
        <v>6</v>
      </c>
      <c r="N75" s="12"/>
      <c r="O75" s="12" t="s">
        <v>7</v>
      </c>
      <c r="P75" s="12"/>
    </row>
    <row r="76" spans="1:20" ht="15" customHeight="1" x14ac:dyDescent="0.3">
      <c r="A76" s="10"/>
      <c r="B76" s="13"/>
      <c r="C76" s="2" t="s">
        <v>15</v>
      </c>
      <c r="D76" s="2" t="s">
        <v>16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 t="s">
        <v>16</v>
      </c>
      <c r="K76" s="2" t="s">
        <v>15</v>
      </c>
      <c r="L76" s="2" t="s">
        <v>16</v>
      </c>
      <c r="M76" s="2" t="s">
        <v>15</v>
      </c>
      <c r="N76" s="2" t="s">
        <v>16</v>
      </c>
      <c r="O76" s="2" t="s">
        <v>15</v>
      </c>
      <c r="P76" s="2" t="s">
        <v>16</v>
      </c>
    </row>
    <row r="77" spans="1:20" ht="15" customHeight="1" x14ac:dyDescent="0.3">
      <c r="A77" s="10"/>
      <c r="B77" s="1" t="s">
        <v>31</v>
      </c>
      <c r="C77" s="3"/>
      <c r="D77" s="3">
        <v>5.5220399999999996</v>
      </c>
      <c r="E77" s="3"/>
      <c r="F77" s="3">
        <v>6.9964899999999997</v>
      </c>
      <c r="G77" s="3"/>
      <c r="H77" s="3">
        <v>6.54542</v>
      </c>
      <c r="I77" s="3"/>
      <c r="J77" s="3">
        <v>5.6508099999999999</v>
      </c>
      <c r="K77" s="3"/>
      <c r="L77" s="3">
        <v>5.1178100000000004</v>
      </c>
      <c r="M77" s="3"/>
      <c r="N77" s="3">
        <v>4.4133100000000001</v>
      </c>
      <c r="O77" s="3"/>
      <c r="P77" s="3">
        <f>AVERAGE(D77,F77,H77,J77,L77,N77)</f>
        <v>5.7076466666666663</v>
      </c>
    </row>
    <row r="78" spans="1:20" ht="15" customHeight="1" x14ac:dyDescent="0.3">
      <c r="A78" s="10"/>
      <c r="B78" s="1" t="s">
        <v>32</v>
      </c>
      <c r="C78" s="3"/>
      <c r="D78" s="3">
        <v>5.7255799999999999</v>
      </c>
      <c r="E78" s="3"/>
      <c r="F78" s="3">
        <v>7.1998300000000004</v>
      </c>
      <c r="G78" s="3"/>
      <c r="H78" s="3">
        <v>6.7830500000000002</v>
      </c>
      <c r="I78" s="3"/>
      <c r="J78" s="3">
        <v>5.8335900000000001</v>
      </c>
      <c r="K78" s="3"/>
      <c r="L78" s="3">
        <v>5.4020400000000004</v>
      </c>
      <c r="M78" s="3"/>
      <c r="N78" s="3">
        <v>4.5986900000000004</v>
      </c>
      <c r="O78" s="3"/>
      <c r="P78" s="3">
        <f>AVERAGE(D78,F78,H78,J78,L78,N78)</f>
        <v>5.923796666666667</v>
      </c>
    </row>
    <row r="79" spans="1:20" ht="15" customHeight="1" x14ac:dyDescent="0.3">
      <c r="A79" s="10"/>
      <c r="B79" s="1" t="s">
        <v>33</v>
      </c>
      <c r="C79" s="3"/>
      <c r="D79" s="3">
        <v>5.9523999999999999</v>
      </c>
      <c r="E79" s="3"/>
      <c r="F79" s="3">
        <v>7.4973299999999998</v>
      </c>
      <c r="G79" s="3"/>
      <c r="H79" s="3">
        <v>6.9494199999999999</v>
      </c>
      <c r="I79" s="3"/>
      <c r="J79" s="3">
        <v>6.1371000000000002</v>
      </c>
      <c r="K79" s="3"/>
      <c r="L79" s="3">
        <v>5.6459799999999998</v>
      </c>
      <c r="M79" s="3"/>
      <c r="N79" s="3">
        <v>4.7589899999999998</v>
      </c>
      <c r="O79" s="3"/>
      <c r="P79" s="3">
        <f>AVERAGE(D79,F79,H79,J79,L79,N79)</f>
        <v>6.1568699999999987</v>
      </c>
    </row>
    <row r="80" spans="1:20" ht="15" customHeight="1" x14ac:dyDescent="0.3">
      <c r="A80" s="10"/>
      <c r="B80" s="1" t="s">
        <v>34</v>
      </c>
      <c r="C80" s="3"/>
      <c r="D80" s="3">
        <v>6.09992</v>
      </c>
      <c r="E80" s="3"/>
      <c r="F80" s="3">
        <v>7.6119700000000003</v>
      </c>
      <c r="G80" s="3"/>
      <c r="H80" s="3">
        <v>7.1602199999999998</v>
      </c>
      <c r="I80" s="3"/>
      <c r="J80" s="3">
        <v>6.3007499999999999</v>
      </c>
      <c r="K80" s="3"/>
      <c r="L80" s="3">
        <v>5.7742199999999997</v>
      </c>
      <c r="M80" s="3"/>
      <c r="N80" s="3">
        <v>4.8783399999999997</v>
      </c>
      <c r="O80" s="3"/>
      <c r="P80" s="3">
        <f>AVERAGE(D80,F80,H80,J80,L80,N80)</f>
        <v>6.3042366666666672</v>
      </c>
    </row>
    <row r="81" spans="1:16" ht="15" customHeight="1" x14ac:dyDescent="0.3">
      <c r="A81" s="10"/>
      <c r="B81" s="2" t="s">
        <v>35</v>
      </c>
      <c r="C81" s="4"/>
      <c r="D81" s="4">
        <v>6.1384100000000004</v>
      </c>
      <c r="E81" s="4"/>
      <c r="F81" s="4">
        <v>7.5655200000000002</v>
      </c>
      <c r="G81" s="4"/>
      <c r="H81" s="4">
        <v>7.27156</v>
      </c>
      <c r="I81" s="4"/>
      <c r="J81" s="4">
        <v>6.3005899999999997</v>
      </c>
      <c r="K81" s="4"/>
      <c r="L81" s="4">
        <v>5.82369</v>
      </c>
      <c r="M81" s="4"/>
      <c r="N81" s="4">
        <v>4.9643600000000001</v>
      </c>
      <c r="O81" s="4"/>
      <c r="P81" s="4">
        <f>AVERAGE(D81,F81,H81,J81,L81,N81)</f>
        <v>6.3440216666666664</v>
      </c>
    </row>
    <row r="82" spans="1:16" ht="15" customHeight="1" x14ac:dyDescent="0.3">
      <c r="A82" s="10"/>
      <c r="B82" s="11" t="s">
        <v>14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ht="15" customHeight="1" x14ac:dyDescent="0.3">
      <c r="A83" s="10"/>
      <c r="B83" s="12" t="s">
        <v>0</v>
      </c>
      <c r="C83" s="12" t="s">
        <v>1</v>
      </c>
      <c r="D83" s="12"/>
      <c r="E83" s="12" t="s">
        <v>2</v>
      </c>
      <c r="F83" s="12"/>
      <c r="G83" s="12" t="s">
        <v>3</v>
      </c>
      <c r="H83" s="12"/>
      <c r="I83" s="12" t="s">
        <v>4</v>
      </c>
      <c r="J83" s="12"/>
      <c r="K83" s="12" t="s">
        <v>5</v>
      </c>
      <c r="L83" s="12"/>
      <c r="M83" s="12" t="s">
        <v>6</v>
      </c>
      <c r="N83" s="12"/>
      <c r="O83" s="12" t="s">
        <v>7</v>
      </c>
      <c r="P83" s="12"/>
    </row>
    <row r="84" spans="1:16" ht="15" customHeight="1" x14ac:dyDescent="0.3">
      <c r="A84" s="10"/>
      <c r="B84" s="13"/>
      <c r="C84" s="2" t="s">
        <v>15</v>
      </c>
      <c r="D84" s="2" t="s">
        <v>16</v>
      </c>
      <c r="E84" s="2" t="s">
        <v>15</v>
      </c>
      <c r="F84" s="2" t="s">
        <v>16</v>
      </c>
      <c r="G84" s="2" t="s">
        <v>15</v>
      </c>
      <c r="H84" s="2" t="s">
        <v>16</v>
      </c>
      <c r="I84" s="2" t="s">
        <v>15</v>
      </c>
      <c r="J84" s="2" t="s">
        <v>16</v>
      </c>
      <c r="K84" s="2" t="s">
        <v>15</v>
      </c>
      <c r="L84" s="2" t="s">
        <v>16</v>
      </c>
      <c r="M84" s="2" t="s">
        <v>15</v>
      </c>
      <c r="N84" s="2" t="s">
        <v>16</v>
      </c>
      <c r="O84" s="2" t="s">
        <v>15</v>
      </c>
      <c r="P84" s="2" t="s">
        <v>16</v>
      </c>
    </row>
    <row r="85" spans="1:16" ht="15" customHeight="1" x14ac:dyDescent="0.3">
      <c r="A85" s="10"/>
      <c r="B85" s="1" t="s">
        <v>31</v>
      </c>
      <c r="C85" s="3"/>
      <c r="D85" s="3">
        <v>4.9509299999999996</v>
      </c>
      <c r="E85" s="3"/>
      <c r="F85" s="3">
        <v>6.5409800000000002</v>
      </c>
      <c r="G85" s="3"/>
      <c r="H85" s="3">
        <v>6.1789199999999997</v>
      </c>
      <c r="I85" s="3"/>
      <c r="J85" s="3">
        <v>5.19</v>
      </c>
      <c r="K85" s="3"/>
      <c r="L85" s="3">
        <v>4.6705500000000004</v>
      </c>
      <c r="M85" s="3"/>
      <c r="N85" s="3">
        <v>4.0139300000000002</v>
      </c>
      <c r="O85" s="3"/>
      <c r="P85" s="3">
        <f>AVERAGE(D85,F85,H85,J85,L85,N85)</f>
        <v>5.257551666666668</v>
      </c>
    </row>
    <row r="86" spans="1:16" ht="15" customHeight="1" x14ac:dyDescent="0.3">
      <c r="A86" s="10"/>
      <c r="B86" s="1" t="s">
        <v>32</v>
      </c>
      <c r="C86" s="3"/>
      <c r="D86" s="3">
        <v>5.1339100000000002</v>
      </c>
      <c r="E86" s="3"/>
      <c r="F86" s="3">
        <v>6.6997200000000001</v>
      </c>
      <c r="G86" s="3"/>
      <c r="H86" s="3">
        <v>6.3095100000000004</v>
      </c>
      <c r="I86" s="3"/>
      <c r="J86" s="3">
        <v>5.3921700000000001</v>
      </c>
      <c r="K86" s="3"/>
      <c r="L86" s="3">
        <v>4.7391899999999998</v>
      </c>
      <c r="M86" s="3"/>
      <c r="N86" s="3">
        <v>4.2642600000000002</v>
      </c>
      <c r="O86" s="3"/>
      <c r="P86" s="3">
        <f>AVERAGE(D86,F86,H86,J86,L86,N86)</f>
        <v>5.4231266666666658</v>
      </c>
    </row>
    <row r="87" spans="1:16" ht="15" customHeight="1" x14ac:dyDescent="0.3">
      <c r="A87" s="10"/>
      <c r="B87" s="1" t="s">
        <v>33</v>
      </c>
      <c r="C87" s="3"/>
      <c r="D87" s="3">
        <v>5.3834299999999997</v>
      </c>
      <c r="E87" s="3"/>
      <c r="F87" s="3">
        <v>6.9919500000000001</v>
      </c>
      <c r="G87" s="3"/>
      <c r="H87" s="3">
        <v>6.6197800000000004</v>
      </c>
      <c r="I87" s="3"/>
      <c r="J87" s="3">
        <v>5.5469200000000001</v>
      </c>
      <c r="K87" s="3"/>
      <c r="L87" s="3">
        <v>5.0340600000000002</v>
      </c>
      <c r="M87" s="3"/>
      <c r="N87" s="3">
        <v>4.3357999999999999</v>
      </c>
      <c r="O87" s="3"/>
      <c r="P87" s="3">
        <f>AVERAGE(D87,F87,H87,J87,L87,N87)</f>
        <v>5.6519900000000005</v>
      </c>
    </row>
    <row r="88" spans="1:16" ht="15" customHeight="1" x14ac:dyDescent="0.3">
      <c r="A88" s="10"/>
      <c r="B88" s="1" t="s">
        <v>34</v>
      </c>
      <c r="C88" s="3"/>
      <c r="D88" s="3">
        <v>5.4582300000000004</v>
      </c>
      <c r="E88" s="3"/>
      <c r="F88" s="3">
        <v>7.0065799999999996</v>
      </c>
      <c r="G88" s="3"/>
      <c r="H88" s="3">
        <v>6.8334700000000002</v>
      </c>
      <c r="I88" s="3"/>
      <c r="J88" s="3">
        <v>5.6489799999999999</v>
      </c>
      <c r="K88" s="3"/>
      <c r="L88" s="3">
        <v>5.1306500000000002</v>
      </c>
      <c r="M88" s="3"/>
      <c r="N88" s="3">
        <v>4.4939499999999999</v>
      </c>
      <c r="O88" s="3"/>
      <c r="P88" s="3">
        <f>AVERAGE(D88,F88,H88,J88,L88,N88)</f>
        <v>5.7619766666666665</v>
      </c>
    </row>
    <row r="89" spans="1:16" ht="15" customHeight="1" x14ac:dyDescent="0.3">
      <c r="A89" s="10"/>
      <c r="B89" s="2" t="s">
        <v>35</v>
      </c>
      <c r="C89" s="4"/>
      <c r="D89" s="4">
        <v>5.4510300000000003</v>
      </c>
      <c r="E89" s="4"/>
      <c r="F89" s="4">
        <v>7.1321500000000002</v>
      </c>
      <c r="G89" s="4"/>
      <c r="H89" s="4">
        <v>6.8049299999999997</v>
      </c>
      <c r="I89" s="4"/>
      <c r="J89" s="4">
        <v>5.7448199999999998</v>
      </c>
      <c r="K89" s="4"/>
      <c r="L89" s="4">
        <v>5.2659399999999996</v>
      </c>
      <c r="M89" s="4"/>
      <c r="N89" s="4">
        <v>4.3027300000000004</v>
      </c>
      <c r="O89" s="4"/>
      <c r="P89" s="4">
        <f>AVERAGE(D89,F89,H89,J89,L89,N89)</f>
        <v>5.7835999999999999</v>
      </c>
    </row>
  </sheetData>
  <mergeCells count="96">
    <mergeCell ref="K83:L83"/>
    <mergeCell ref="M83:N83"/>
    <mergeCell ref="O83:P83"/>
    <mergeCell ref="A74:A89"/>
    <mergeCell ref="B74:P74"/>
    <mergeCell ref="B75:B76"/>
    <mergeCell ref="C75:D75"/>
    <mergeCell ref="E75:F75"/>
    <mergeCell ref="G75:H75"/>
    <mergeCell ref="I75:J75"/>
    <mergeCell ref="K75:L75"/>
    <mergeCell ref="M75:N75"/>
    <mergeCell ref="O75:P75"/>
    <mergeCell ref="B82:P82"/>
    <mergeCell ref="B83:B84"/>
    <mergeCell ref="C83:D83"/>
    <mergeCell ref="E83:F83"/>
    <mergeCell ref="G83:H83"/>
    <mergeCell ref="I83:J83"/>
    <mergeCell ref="A56:A71"/>
    <mergeCell ref="B56:P56"/>
    <mergeCell ref="B57:B58"/>
    <mergeCell ref="C57:D57"/>
    <mergeCell ref="E57:F57"/>
    <mergeCell ref="G57:H57"/>
    <mergeCell ref="I57:J57"/>
    <mergeCell ref="K57:L57"/>
    <mergeCell ref="M57:N57"/>
    <mergeCell ref="O57:P57"/>
    <mergeCell ref="B64:P64"/>
    <mergeCell ref="B65:B66"/>
    <mergeCell ref="C65:D65"/>
    <mergeCell ref="A38:A53"/>
    <mergeCell ref="B38:P38"/>
    <mergeCell ref="B39:B40"/>
    <mergeCell ref="C39:D39"/>
    <mergeCell ref="E39:F39"/>
    <mergeCell ref="G39:H39"/>
    <mergeCell ref="I39:J39"/>
    <mergeCell ref="K39:L39"/>
    <mergeCell ref="M39:N39"/>
    <mergeCell ref="O39:P39"/>
    <mergeCell ref="B46:P46"/>
    <mergeCell ref="B47:B48"/>
    <mergeCell ref="C47:D47"/>
    <mergeCell ref="E47:F47"/>
    <mergeCell ref="K47:L47"/>
    <mergeCell ref="M47:N47"/>
    <mergeCell ref="O47:P47"/>
    <mergeCell ref="G47:H47"/>
    <mergeCell ref="I47:J47"/>
    <mergeCell ref="A20:A35"/>
    <mergeCell ref="B20:P20"/>
    <mergeCell ref="B21:B22"/>
    <mergeCell ref="C21:D21"/>
    <mergeCell ref="E21:F21"/>
    <mergeCell ref="G21:H21"/>
    <mergeCell ref="I21:J21"/>
    <mergeCell ref="K21:L21"/>
    <mergeCell ref="M21:N21"/>
    <mergeCell ref="O21:P21"/>
    <mergeCell ref="B28:P28"/>
    <mergeCell ref="B29:B30"/>
    <mergeCell ref="C29:D29"/>
    <mergeCell ref="E29:F29"/>
    <mergeCell ref="G29:H29"/>
    <mergeCell ref="I29:J29"/>
    <mergeCell ref="K29:L29"/>
    <mergeCell ref="M29:N29"/>
    <mergeCell ref="M3:N3"/>
    <mergeCell ref="O3:P3"/>
    <mergeCell ref="B10:P10"/>
    <mergeCell ref="B11:B12"/>
    <mergeCell ref="C11:D11"/>
    <mergeCell ref="E11:F11"/>
    <mergeCell ref="G11:H11"/>
    <mergeCell ref="M11:N11"/>
    <mergeCell ref="O11:P11"/>
    <mergeCell ref="I11:J11"/>
    <mergeCell ref="K11:L11"/>
    <mergeCell ref="R2:T71"/>
    <mergeCell ref="O29:P29"/>
    <mergeCell ref="A2:A17"/>
    <mergeCell ref="E65:F65"/>
    <mergeCell ref="G65:H65"/>
    <mergeCell ref="I65:J65"/>
    <mergeCell ref="K65:L65"/>
    <mergeCell ref="M65:N65"/>
    <mergeCell ref="O65:P65"/>
    <mergeCell ref="B2:P2"/>
    <mergeCell ref="B3:B4"/>
    <mergeCell ref="C3:D3"/>
    <mergeCell ref="E3:F3"/>
    <mergeCell ref="G3:H3"/>
    <mergeCell ref="I3:J3"/>
    <mergeCell ref="K3:L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126C-3FE1-428A-BDA2-93CD7E4A00CB}">
  <dimension ref="A2:T157"/>
  <sheetViews>
    <sheetView zoomScaleNormal="100" workbookViewId="0"/>
  </sheetViews>
  <sheetFormatPr defaultColWidth="7.58203125" defaultRowHeight="15" customHeight="1" x14ac:dyDescent="0.3"/>
  <cols>
    <col min="1" max="16" width="13.58203125" style="1" customWidth="1"/>
    <col min="17" max="16384" width="7.58203125" style="1"/>
  </cols>
  <sheetData>
    <row r="2" spans="1:20" ht="15" customHeight="1" x14ac:dyDescent="0.3">
      <c r="A2" s="10" t="s">
        <v>49</v>
      </c>
      <c r="B2" s="11" t="s">
        <v>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R2" s="15" t="s">
        <v>36</v>
      </c>
      <c r="S2" s="15"/>
      <c r="T2" s="15"/>
    </row>
    <row r="3" spans="1:20" ht="15" customHeight="1" x14ac:dyDescent="0.3">
      <c r="A3" s="10"/>
      <c r="B3" s="12" t="s">
        <v>0</v>
      </c>
      <c r="C3" s="12" t="s">
        <v>1</v>
      </c>
      <c r="D3" s="12"/>
      <c r="E3" s="12" t="s">
        <v>2</v>
      </c>
      <c r="F3" s="12"/>
      <c r="G3" s="12" t="s">
        <v>3</v>
      </c>
      <c r="H3" s="12"/>
      <c r="I3" s="12" t="s">
        <v>4</v>
      </c>
      <c r="J3" s="12"/>
      <c r="K3" s="12" t="s">
        <v>5</v>
      </c>
      <c r="L3" s="12"/>
      <c r="M3" s="12" t="s">
        <v>6</v>
      </c>
      <c r="N3" s="12"/>
      <c r="O3" s="12" t="s">
        <v>7</v>
      </c>
      <c r="P3" s="12"/>
      <c r="R3" s="15"/>
      <c r="S3" s="15"/>
      <c r="T3" s="15"/>
    </row>
    <row r="4" spans="1:20" ht="15" customHeight="1" x14ac:dyDescent="0.3">
      <c r="A4" s="10"/>
      <c r="B4" s="13"/>
      <c r="C4" s="2" t="s">
        <v>15</v>
      </c>
      <c r="D4" s="2" t="s">
        <v>16</v>
      </c>
      <c r="E4" s="2" t="s">
        <v>15</v>
      </c>
      <c r="F4" s="2" t="s">
        <v>16</v>
      </c>
      <c r="G4" s="2" t="s">
        <v>15</v>
      </c>
      <c r="H4" s="2" t="s">
        <v>16</v>
      </c>
      <c r="I4" s="2" t="s">
        <v>15</v>
      </c>
      <c r="J4" s="2" t="s">
        <v>16</v>
      </c>
      <c r="K4" s="2" t="s">
        <v>15</v>
      </c>
      <c r="L4" s="2" t="s">
        <v>16</v>
      </c>
      <c r="M4" s="2" t="s">
        <v>15</v>
      </c>
      <c r="N4" s="2" t="s">
        <v>16</v>
      </c>
      <c r="O4" s="2" t="s">
        <v>15</v>
      </c>
      <c r="P4" s="2" t="s">
        <v>16</v>
      </c>
      <c r="R4" s="15"/>
      <c r="S4" s="15"/>
      <c r="T4" s="15"/>
    </row>
    <row r="5" spans="1:20" ht="15" customHeight="1" x14ac:dyDescent="0.3">
      <c r="A5" s="10"/>
      <c r="B5" s="1" t="s">
        <v>8</v>
      </c>
      <c r="C5" s="3"/>
      <c r="D5" s="3">
        <v>4.3087400000000002</v>
      </c>
      <c r="E5" s="3"/>
      <c r="F5" s="3">
        <v>5.0599699999999999</v>
      </c>
      <c r="G5" s="3"/>
      <c r="H5" s="3">
        <v>4.8281400000000003</v>
      </c>
      <c r="I5" s="3"/>
      <c r="J5" s="3">
        <v>4.3653899999999997</v>
      </c>
      <c r="K5" s="3"/>
      <c r="L5" s="3">
        <v>3.9928699999999999</v>
      </c>
      <c r="M5" s="3"/>
      <c r="N5" s="3">
        <v>3.6211099999999998</v>
      </c>
      <c r="O5" s="3"/>
      <c r="P5" s="3">
        <f>AVERAGE(D5,F5,H5,J5,L5,N5)</f>
        <v>4.3627033333333332</v>
      </c>
      <c r="R5" s="7"/>
      <c r="S5" s="7"/>
      <c r="T5" s="7"/>
    </row>
    <row r="6" spans="1:20" ht="15" customHeight="1" x14ac:dyDescent="0.3">
      <c r="A6" s="10"/>
      <c r="B6" s="1" t="s">
        <v>9</v>
      </c>
      <c r="C6" s="3"/>
      <c r="D6" s="3">
        <v>4.4191500000000001</v>
      </c>
      <c r="E6" s="3"/>
      <c r="F6" s="3">
        <v>5.18363</v>
      </c>
      <c r="G6" s="3"/>
      <c r="H6" s="3">
        <v>4.8700599999999996</v>
      </c>
      <c r="I6" s="3"/>
      <c r="J6" s="3">
        <v>4.5928199999999997</v>
      </c>
      <c r="K6" s="3"/>
      <c r="L6" s="3">
        <v>4.1554900000000004</v>
      </c>
      <c r="M6" s="3"/>
      <c r="N6" s="3">
        <v>3.7521599999999999</v>
      </c>
      <c r="O6" s="3"/>
      <c r="P6" s="3">
        <f>AVERAGE(D6,F6,H6,J6,L6,N6)</f>
        <v>4.4955516666666666</v>
      </c>
      <c r="R6" s="7"/>
      <c r="S6" s="7"/>
      <c r="T6" s="7"/>
    </row>
    <row r="7" spans="1:20" ht="15" customHeight="1" x14ac:dyDescent="0.3">
      <c r="A7" s="10"/>
      <c r="B7" s="1" t="s">
        <v>10</v>
      </c>
      <c r="C7" s="3"/>
      <c r="D7" s="3">
        <v>4.5416499999999997</v>
      </c>
      <c r="E7" s="3"/>
      <c r="F7" s="3">
        <v>5.3048500000000001</v>
      </c>
      <c r="G7" s="3"/>
      <c r="H7" s="3">
        <v>5.0471199999999996</v>
      </c>
      <c r="I7" s="3"/>
      <c r="J7" s="3">
        <v>4.6762499999999996</v>
      </c>
      <c r="K7" s="3"/>
      <c r="L7" s="3">
        <v>4.2282599999999997</v>
      </c>
      <c r="M7" s="3"/>
      <c r="N7" s="3">
        <v>3.8422999999999998</v>
      </c>
      <c r="O7" s="3"/>
      <c r="P7" s="3">
        <f>AVERAGE(D7,F7,H7,J7,L7,N7)</f>
        <v>4.6067383333333325</v>
      </c>
      <c r="R7" s="7"/>
      <c r="S7" s="7"/>
      <c r="T7" s="7"/>
    </row>
    <row r="8" spans="1:20" ht="15" customHeight="1" x14ac:dyDescent="0.3">
      <c r="A8" s="10"/>
      <c r="B8" s="1" t="s">
        <v>11</v>
      </c>
      <c r="C8" s="3"/>
      <c r="D8" s="3">
        <v>4.5712900000000003</v>
      </c>
      <c r="E8" s="3"/>
      <c r="F8" s="3">
        <v>5.3359399999999999</v>
      </c>
      <c r="G8" s="3"/>
      <c r="H8" s="3">
        <v>5.0900999999999996</v>
      </c>
      <c r="I8" s="3"/>
      <c r="J8" s="3">
        <v>4.7393400000000003</v>
      </c>
      <c r="K8" s="3"/>
      <c r="L8" s="3">
        <v>4.3044399999999996</v>
      </c>
      <c r="M8" s="3"/>
      <c r="N8" s="3">
        <v>3.8893800000000001</v>
      </c>
      <c r="O8" s="3"/>
      <c r="P8" s="3">
        <f>AVERAGE(D8,F8,H8,J8,L8,N8)</f>
        <v>4.6550816666666668</v>
      </c>
      <c r="R8" s="7"/>
      <c r="S8" s="7"/>
      <c r="T8" s="7"/>
    </row>
    <row r="9" spans="1:20" ht="15" customHeight="1" x14ac:dyDescent="0.3">
      <c r="A9" s="10"/>
      <c r="B9" s="2" t="s">
        <v>12</v>
      </c>
      <c r="C9" s="4"/>
      <c r="D9" s="4">
        <v>4.6014499999999998</v>
      </c>
      <c r="E9" s="4"/>
      <c r="F9" s="4">
        <v>5.3707099999999999</v>
      </c>
      <c r="G9" s="4"/>
      <c r="H9" s="4">
        <v>5.1400800000000002</v>
      </c>
      <c r="I9" s="4"/>
      <c r="J9" s="4">
        <v>4.6508000000000003</v>
      </c>
      <c r="K9" s="4"/>
      <c r="L9" s="4">
        <v>4.2111900000000002</v>
      </c>
      <c r="M9" s="4"/>
      <c r="N9" s="4">
        <v>3.8771599999999999</v>
      </c>
      <c r="O9" s="4"/>
      <c r="P9" s="3">
        <f>AVERAGE(D9,F9,H9,J9,L9,N9)</f>
        <v>4.6418983333333328</v>
      </c>
      <c r="R9" s="7"/>
      <c r="S9" s="7"/>
      <c r="T9" s="7"/>
    </row>
    <row r="10" spans="1:20" ht="15" customHeight="1" x14ac:dyDescent="0.3">
      <c r="A10" s="10"/>
      <c r="B10" s="11" t="s">
        <v>14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R10" s="7"/>
      <c r="S10" s="7"/>
      <c r="T10" s="7"/>
    </row>
    <row r="11" spans="1:20" ht="15" customHeight="1" x14ac:dyDescent="0.3">
      <c r="A11" s="10"/>
      <c r="B11" s="12" t="s">
        <v>0</v>
      </c>
      <c r="C11" s="12" t="s">
        <v>1</v>
      </c>
      <c r="D11" s="12"/>
      <c r="E11" s="12" t="s">
        <v>2</v>
      </c>
      <c r="F11" s="12"/>
      <c r="G11" s="12" t="s">
        <v>3</v>
      </c>
      <c r="H11" s="12"/>
      <c r="I11" s="12" t="s">
        <v>4</v>
      </c>
      <c r="J11" s="12"/>
      <c r="K11" s="12" t="s">
        <v>5</v>
      </c>
      <c r="L11" s="12"/>
      <c r="M11" s="12" t="s">
        <v>6</v>
      </c>
      <c r="N11" s="12"/>
      <c r="O11" s="12" t="s">
        <v>7</v>
      </c>
      <c r="P11" s="12"/>
      <c r="R11" s="7"/>
      <c r="S11" s="7"/>
      <c r="T11" s="7"/>
    </row>
    <row r="12" spans="1:20" ht="15" customHeight="1" x14ac:dyDescent="0.3">
      <c r="A12" s="10"/>
      <c r="B12" s="13"/>
      <c r="C12" s="2" t="s">
        <v>15</v>
      </c>
      <c r="D12" s="2" t="s">
        <v>16</v>
      </c>
      <c r="E12" s="2" t="s">
        <v>15</v>
      </c>
      <c r="F12" s="2" t="s">
        <v>16</v>
      </c>
      <c r="G12" s="2" t="s">
        <v>15</v>
      </c>
      <c r="H12" s="2" t="s">
        <v>16</v>
      </c>
      <c r="I12" s="2" t="s">
        <v>15</v>
      </c>
      <c r="J12" s="2" t="s">
        <v>16</v>
      </c>
      <c r="K12" s="2" t="s">
        <v>15</v>
      </c>
      <c r="L12" s="2" t="s">
        <v>16</v>
      </c>
      <c r="M12" s="2" t="s">
        <v>15</v>
      </c>
      <c r="N12" s="2" t="s">
        <v>16</v>
      </c>
      <c r="O12" s="2" t="s">
        <v>15</v>
      </c>
      <c r="P12" s="2" t="s">
        <v>16</v>
      </c>
      <c r="R12" s="7"/>
      <c r="S12" s="7"/>
      <c r="T12" s="7"/>
    </row>
    <row r="13" spans="1:20" ht="15" customHeight="1" x14ac:dyDescent="0.3">
      <c r="A13" s="10"/>
      <c r="B13" s="1" t="s">
        <v>8</v>
      </c>
      <c r="C13" s="3"/>
      <c r="D13" s="3">
        <v>3.9427500000000002</v>
      </c>
      <c r="E13" s="3"/>
      <c r="F13" s="3">
        <v>4.7552599999999998</v>
      </c>
      <c r="G13" s="3"/>
      <c r="H13" s="3">
        <v>4.6803999999999997</v>
      </c>
      <c r="I13" s="3"/>
      <c r="J13" s="3">
        <v>4.1638500000000001</v>
      </c>
      <c r="K13" s="3"/>
      <c r="L13" s="3">
        <v>3.7195</v>
      </c>
      <c r="M13" s="3"/>
      <c r="N13" s="3">
        <v>3.3722400000000001</v>
      </c>
      <c r="O13" s="3"/>
      <c r="P13" s="3">
        <f>AVERAGE(D13,F13,H13,J13,L13,N13)</f>
        <v>4.105666666666667</v>
      </c>
      <c r="R13" s="7"/>
      <c r="S13" s="7"/>
      <c r="T13" s="7"/>
    </row>
    <row r="14" spans="1:20" ht="15" customHeight="1" x14ac:dyDescent="0.3">
      <c r="A14" s="10"/>
      <c r="B14" s="1" t="s">
        <v>9</v>
      </c>
      <c r="C14" s="3"/>
      <c r="D14" s="3">
        <v>4.1139799999999997</v>
      </c>
      <c r="E14" s="3"/>
      <c r="F14" s="3">
        <v>5.0107999999999997</v>
      </c>
      <c r="G14" s="3"/>
      <c r="H14" s="3">
        <v>4.7341800000000003</v>
      </c>
      <c r="I14" s="3"/>
      <c r="J14" s="3">
        <v>4.3601700000000001</v>
      </c>
      <c r="K14" s="3"/>
      <c r="L14" s="3">
        <v>3.8696199999999998</v>
      </c>
      <c r="M14" s="3"/>
      <c r="N14" s="3">
        <v>3.5631699999999999</v>
      </c>
      <c r="O14" s="3"/>
      <c r="P14" s="3">
        <f>AVERAGE(D14,F14,H14,J14,L14,N14)</f>
        <v>4.2753199999999998</v>
      </c>
      <c r="R14" s="7"/>
      <c r="S14" s="7"/>
      <c r="T14" s="7"/>
    </row>
    <row r="15" spans="1:20" ht="15" customHeight="1" x14ac:dyDescent="0.3">
      <c r="A15" s="10"/>
      <c r="B15" s="1" t="s">
        <v>10</v>
      </c>
      <c r="C15" s="3"/>
      <c r="D15" s="3">
        <v>4.1571100000000003</v>
      </c>
      <c r="E15" s="3"/>
      <c r="F15" s="3">
        <v>5.0759100000000004</v>
      </c>
      <c r="G15" s="3"/>
      <c r="H15" s="3">
        <v>4.8683899999999998</v>
      </c>
      <c r="I15" s="3"/>
      <c r="J15" s="3">
        <v>4.4054799999999998</v>
      </c>
      <c r="K15" s="3"/>
      <c r="L15" s="3">
        <v>3.93289</v>
      </c>
      <c r="M15" s="3"/>
      <c r="N15" s="3">
        <v>3.6810200000000002</v>
      </c>
      <c r="O15" s="3"/>
      <c r="P15" s="3">
        <f>AVERAGE(D15,F15,H15,J15,L15,N15)</f>
        <v>4.3534666666666668</v>
      </c>
      <c r="R15" s="7"/>
      <c r="S15" s="7"/>
      <c r="T15" s="7"/>
    </row>
    <row r="16" spans="1:20" ht="15" customHeight="1" x14ac:dyDescent="0.3">
      <c r="A16" s="10"/>
      <c r="B16" s="1" t="s">
        <v>11</v>
      </c>
      <c r="C16" s="3"/>
      <c r="D16" s="3">
        <v>4.1813900000000004</v>
      </c>
      <c r="E16" s="3"/>
      <c r="F16" s="3">
        <v>5.1694000000000004</v>
      </c>
      <c r="G16" s="3"/>
      <c r="H16" s="3">
        <v>4.8948799999999997</v>
      </c>
      <c r="I16" s="3"/>
      <c r="J16" s="3">
        <v>4.4668000000000001</v>
      </c>
      <c r="K16" s="3"/>
      <c r="L16" s="3">
        <v>4.00122</v>
      </c>
      <c r="M16" s="3"/>
      <c r="N16" s="3">
        <v>3.68866</v>
      </c>
      <c r="O16" s="3"/>
      <c r="P16" s="3">
        <f>AVERAGE(D16,F16,H16,J16,L16,N16)</f>
        <v>4.4003916666666667</v>
      </c>
      <c r="R16" s="7"/>
      <c r="S16" s="7"/>
      <c r="T16" s="7"/>
    </row>
    <row r="17" spans="1:20" ht="15" customHeight="1" x14ac:dyDescent="0.3">
      <c r="A17" s="10"/>
      <c r="B17" s="2" t="s">
        <v>12</v>
      </c>
      <c r="C17" s="4"/>
      <c r="D17" s="4">
        <v>4.2530000000000001</v>
      </c>
      <c r="E17" s="4"/>
      <c r="F17" s="4">
        <v>5.1594899999999999</v>
      </c>
      <c r="G17" s="4"/>
      <c r="H17" s="4">
        <v>4.8507300000000004</v>
      </c>
      <c r="I17" s="4"/>
      <c r="J17" s="4">
        <v>4.3982200000000002</v>
      </c>
      <c r="K17" s="4"/>
      <c r="L17" s="4">
        <v>3.9194499999999999</v>
      </c>
      <c r="M17" s="4"/>
      <c r="N17" s="4">
        <v>3.67726</v>
      </c>
      <c r="O17" s="4"/>
      <c r="P17" s="4">
        <f>AVERAGE(D17,F17,H17,J17,L17,N17)</f>
        <v>4.3763583333333331</v>
      </c>
      <c r="R17" s="7"/>
      <c r="S17" s="7"/>
      <c r="T17" s="7"/>
    </row>
    <row r="18" spans="1:20" ht="15" customHeight="1" x14ac:dyDescent="0.3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R18" s="7"/>
      <c r="S18" s="7"/>
      <c r="T18" s="7"/>
    </row>
    <row r="19" spans="1:20" ht="15" customHeight="1" x14ac:dyDescent="0.3">
      <c r="R19" s="7"/>
      <c r="S19" s="7"/>
      <c r="T19" s="7"/>
    </row>
    <row r="20" spans="1:20" ht="15" customHeight="1" x14ac:dyDescent="0.3">
      <c r="A20" s="10" t="s">
        <v>18</v>
      </c>
      <c r="B20" s="11" t="s">
        <v>13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R20" s="7"/>
      <c r="S20" s="7"/>
      <c r="T20" s="7"/>
    </row>
    <row r="21" spans="1:20" ht="15" customHeight="1" x14ac:dyDescent="0.3">
      <c r="A21" s="10"/>
      <c r="B21" s="12" t="s">
        <v>0</v>
      </c>
      <c r="C21" s="12" t="s">
        <v>1</v>
      </c>
      <c r="D21" s="12"/>
      <c r="E21" s="12" t="s">
        <v>2</v>
      </c>
      <c r="F21" s="12"/>
      <c r="G21" s="12" t="s">
        <v>3</v>
      </c>
      <c r="H21" s="12"/>
      <c r="I21" s="12" t="s">
        <v>4</v>
      </c>
      <c r="J21" s="12"/>
      <c r="K21" s="12" t="s">
        <v>5</v>
      </c>
      <c r="L21" s="12"/>
      <c r="M21" s="12" t="s">
        <v>6</v>
      </c>
      <c r="N21" s="12"/>
      <c r="O21" s="12" t="s">
        <v>7</v>
      </c>
      <c r="P21" s="12"/>
      <c r="R21" s="7"/>
      <c r="S21" s="7"/>
      <c r="T21" s="7"/>
    </row>
    <row r="22" spans="1:20" ht="15" customHeight="1" x14ac:dyDescent="0.3">
      <c r="A22" s="10"/>
      <c r="B22" s="13"/>
      <c r="C22" s="2" t="s">
        <v>15</v>
      </c>
      <c r="D22" s="2" t="s">
        <v>16</v>
      </c>
      <c r="E22" s="2" t="s">
        <v>15</v>
      </c>
      <c r="F22" s="2" t="s">
        <v>16</v>
      </c>
      <c r="G22" s="2" t="s">
        <v>15</v>
      </c>
      <c r="H22" s="2" t="s">
        <v>16</v>
      </c>
      <c r="I22" s="2" t="s">
        <v>15</v>
      </c>
      <c r="J22" s="2" t="s">
        <v>16</v>
      </c>
      <c r="K22" s="2" t="s">
        <v>15</v>
      </c>
      <c r="L22" s="2" t="s">
        <v>16</v>
      </c>
      <c r="M22" s="2" t="s">
        <v>15</v>
      </c>
      <c r="N22" s="2" t="s">
        <v>16</v>
      </c>
      <c r="O22" s="2" t="s">
        <v>15</v>
      </c>
      <c r="P22" s="2" t="s">
        <v>16</v>
      </c>
      <c r="R22" s="7"/>
      <c r="S22" s="7"/>
      <c r="T22" s="7"/>
    </row>
    <row r="23" spans="1:20" ht="15" customHeight="1" x14ac:dyDescent="0.3">
      <c r="A23" s="10"/>
      <c r="B23" s="1" t="s">
        <v>8</v>
      </c>
      <c r="C23" s="3"/>
      <c r="D23" s="3">
        <v>4.6584000000000003</v>
      </c>
      <c r="E23" s="3"/>
      <c r="F23" s="3">
        <v>5.6210599999999999</v>
      </c>
      <c r="G23" s="3"/>
      <c r="H23" s="3">
        <v>5.3454499999999996</v>
      </c>
      <c r="I23" s="3"/>
      <c r="J23" s="3">
        <v>4.8077899999999998</v>
      </c>
      <c r="K23" s="3"/>
      <c r="L23" s="3">
        <v>4.3698199999999998</v>
      </c>
      <c r="M23" s="3"/>
      <c r="N23" s="3">
        <v>3.8694600000000001</v>
      </c>
      <c r="O23" s="3"/>
      <c r="P23" s="3">
        <f>AVERAGE(D23,F23,H23,J23,L23,N23)</f>
        <v>4.7786633333333333</v>
      </c>
      <c r="R23" s="7"/>
      <c r="S23" s="7"/>
      <c r="T23" s="7"/>
    </row>
    <row r="24" spans="1:20" ht="15" customHeight="1" x14ac:dyDescent="0.3">
      <c r="A24" s="10"/>
      <c r="B24" s="1" t="s">
        <v>9</v>
      </c>
      <c r="C24" s="3"/>
      <c r="D24" s="3">
        <v>4.78146</v>
      </c>
      <c r="E24" s="3"/>
      <c r="F24" s="3">
        <v>5.7847400000000002</v>
      </c>
      <c r="G24" s="3"/>
      <c r="H24" s="3">
        <v>5.4347500000000002</v>
      </c>
      <c r="I24" s="3"/>
      <c r="J24" s="3">
        <v>4.9870799999999997</v>
      </c>
      <c r="K24" s="3"/>
      <c r="L24" s="3">
        <v>4.5327999999999999</v>
      </c>
      <c r="M24" s="3"/>
      <c r="N24" s="3">
        <v>4.0762299999999998</v>
      </c>
      <c r="O24" s="3"/>
      <c r="P24" s="3">
        <f>AVERAGE(D24,F24,H24,J24,L24,N24)</f>
        <v>4.9328433333333326</v>
      </c>
      <c r="R24" s="7"/>
      <c r="S24" s="7"/>
      <c r="T24" s="7"/>
    </row>
    <row r="25" spans="1:20" ht="15" customHeight="1" x14ac:dyDescent="0.3">
      <c r="A25" s="10"/>
      <c r="B25" s="1" t="s">
        <v>10</v>
      </c>
      <c r="C25" s="3"/>
      <c r="D25" s="3">
        <v>4.8853299999999997</v>
      </c>
      <c r="E25" s="3"/>
      <c r="F25" s="3">
        <v>5.8437299999999999</v>
      </c>
      <c r="G25" s="3"/>
      <c r="H25" s="3">
        <v>5.5219699999999996</v>
      </c>
      <c r="I25" s="3"/>
      <c r="J25" s="3">
        <v>5.1352500000000001</v>
      </c>
      <c r="K25" s="3"/>
      <c r="L25" s="3">
        <v>4.6790099999999999</v>
      </c>
      <c r="M25" s="3"/>
      <c r="N25" s="3">
        <v>4.1275500000000003</v>
      </c>
      <c r="O25" s="3"/>
      <c r="P25" s="3">
        <f>AVERAGE(D25,F25,H25,J25,L25,N25)</f>
        <v>5.0321399999999992</v>
      </c>
      <c r="R25" s="7"/>
      <c r="S25" s="7"/>
      <c r="T25" s="7"/>
    </row>
    <row r="26" spans="1:20" ht="15" customHeight="1" x14ac:dyDescent="0.3">
      <c r="A26" s="10"/>
      <c r="B26" s="1" t="s">
        <v>11</v>
      </c>
      <c r="C26" s="3"/>
      <c r="D26" s="3">
        <v>4.9222400000000004</v>
      </c>
      <c r="E26" s="3"/>
      <c r="F26" s="3">
        <v>5.90184</v>
      </c>
      <c r="G26" s="3"/>
      <c r="H26" s="3">
        <v>5.5779500000000004</v>
      </c>
      <c r="I26" s="3"/>
      <c r="J26" s="3">
        <v>5.0900800000000004</v>
      </c>
      <c r="K26" s="3"/>
      <c r="L26" s="3">
        <v>4.6751199999999997</v>
      </c>
      <c r="M26" s="3"/>
      <c r="N26" s="3">
        <v>4.1644899999999998</v>
      </c>
      <c r="O26" s="3"/>
      <c r="P26" s="3">
        <f>AVERAGE(D26,F26,H26,J26,L26,N26)</f>
        <v>5.0552866666666665</v>
      </c>
      <c r="R26" s="7"/>
      <c r="S26" s="7"/>
      <c r="T26" s="7"/>
    </row>
    <row r="27" spans="1:20" ht="15" customHeight="1" x14ac:dyDescent="0.3">
      <c r="A27" s="10"/>
      <c r="B27" s="2" t="s">
        <v>12</v>
      </c>
      <c r="C27" s="4"/>
      <c r="D27" s="4">
        <v>4.94916</v>
      </c>
      <c r="E27" s="4"/>
      <c r="F27" s="4">
        <v>5.8987600000000002</v>
      </c>
      <c r="G27" s="4"/>
      <c r="H27" s="4">
        <v>5.6253900000000003</v>
      </c>
      <c r="I27" s="4"/>
      <c r="J27" s="4">
        <v>5.0972999999999997</v>
      </c>
      <c r="K27" s="4"/>
      <c r="L27" s="4">
        <v>4.6465399999999999</v>
      </c>
      <c r="M27" s="4"/>
      <c r="N27" s="4">
        <v>4.12784</v>
      </c>
      <c r="O27" s="4"/>
      <c r="P27" s="4">
        <f>AVERAGE(D27,F27,H27,J27,L27,N27)</f>
        <v>5.0574983333333341</v>
      </c>
      <c r="R27" s="7"/>
      <c r="S27" s="7"/>
      <c r="T27" s="7"/>
    </row>
    <row r="28" spans="1:20" ht="15" customHeight="1" x14ac:dyDescent="0.3">
      <c r="A28" s="10"/>
      <c r="B28" s="11" t="s">
        <v>14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R28" s="7"/>
      <c r="S28" s="7"/>
      <c r="T28" s="7"/>
    </row>
    <row r="29" spans="1:20" ht="15" customHeight="1" x14ac:dyDescent="0.3">
      <c r="A29" s="10"/>
      <c r="B29" s="12" t="s">
        <v>0</v>
      </c>
      <c r="C29" s="12" t="s">
        <v>1</v>
      </c>
      <c r="D29" s="12"/>
      <c r="E29" s="12" t="s">
        <v>2</v>
      </c>
      <c r="F29" s="12"/>
      <c r="G29" s="12" t="s">
        <v>3</v>
      </c>
      <c r="H29" s="12"/>
      <c r="I29" s="12" t="s">
        <v>4</v>
      </c>
      <c r="J29" s="12"/>
      <c r="K29" s="12" t="s">
        <v>5</v>
      </c>
      <c r="L29" s="12"/>
      <c r="M29" s="12" t="s">
        <v>6</v>
      </c>
      <c r="N29" s="12"/>
      <c r="O29" s="12" t="s">
        <v>7</v>
      </c>
      <c r="P29" s="12"/>
      <c r="R29" s="7"/>
      <c r="S29" s="7"/>
      <c r="T29" s="7"/>
    </row>
    <row r="30" spans="1:20" ht="15" customHeight="1" x14ac:dyDescent="0.3">
      <c r="A30" s="10"/>
      <c r="B30" s="13"/>
      <c r="C30" s="2" t="s">
        <v>15</v>
      </c>
      <c r="D30" s="2" t="s">
        <v>16</v>
      </c>
      <c r="E30" s="2" t="s">
        <v>15</v>
      </c>
      <c r="F30" s="2" t="s">
        <v>16</v>
      </c>
      <c r="G30" s="2" t="s">
        <v>15</v>
      </c>
      <c r="H30" s="2" t="s">
        <v>16</v>
      </c>
      <c r="I30" s="2" t="s">
        <v>15</v>
      </c>
      <c r="J30" s="2" t="s">
        <v>16</v>
      </c>
      <c r="K30" s="2" t="s">
        <v>15</v>
      </c>
      <c r="L30" s="2" t="s">
        <v>16</v>
      </c>
      <c r="M30" s="2" t="s">
        <v>15</v>
      </c>
      <c r="N30" s="2" t="s">
        <v>16</v>
      </c>
      <c r="O30" s="2" t="s">
        <v>15</v>
      </c>
      <c r="P30" s="2" t="s">
        <v>16</v>
      </c>
      <c r="R30" s="7"/>
      <c r="S30" s="7"/>
      <c r="T30" s="7"/>
    </row>
    <row r="31" spans="1:20" ht="15" customHeight="1" x14ac:dyDescent="0.3">
      <c r="A31" s="10"/>
      <c r="B31" s="1" t="s">
        <v>8</v>
      </c>
      <c r="C31" s="3"/>
      <c r="D31" s="3">
        <v>4.3267899999999999</v>
      </c>
      <c r="E31" s="3"/>
      <c r="F31" s="3">
        <v>5.3582799999999997</v>
      </c>
      <c r="G31" s="3"/>
      <c r="H31" s="3">
        <v>5.1484899999999998</v>
      </c>
      <c r="I31" s="3"/>
      <c r="J31" s="3">
        <v>4.4641099999999998</v>
      </c>
      <c r="K31" s="3"/>
      <c r="L31" s="3">
        <v>4.0290900000000001</v>
      </c>
      <c r="M31" s="3"/>
      <c r="N31" s="3">
        <v>3.6514700000000002</v>
      </c>
      <c r="O31" s="3"/>
      <c r="P31" s="3">
        <f>AVERAGE(D31,F31,H31,J31,L31,N31)</f>
        <v>4.4963716666666658</v>
      </c>
      <c r="R31" s="7"/>
      <c r="S31" s="7"/>
      <c r="T31" s="7"/>
    </row>
    <row r="32" spans="1:20" ht="15" customHeight="1" x14ac:dyDescent="0.3">
      <c r="A32" s="10"/>
      <c r="B32" s="1" t="s">
        <v>9</v>
      </c>
      <c r="C32" s="3"/>
      <c r="D32" s="3">
        <v>4.3927500000000004</v>
      </c>
      <c r="E32" s="3"/>
      <c r="F32" s="3">
        <v>5.4578699999999998</v>
      </c>
      <c r="G32" s="3"/>
      <c r="H32" s="3">
        <v>5.2147800000000002</v>
      </c>
      <c r="I32" s="3"/>
      <c r="J32" s="3">
        <v>4.7100200000000001</v>
      </c>
      <c r="K32" s="3"/>
      <c r="L32" s="3">
        <v>4.21652</v>
      </c>
      <c r="M32" s="3"/>
      <c r="N32" s="3">
        <v>3.6653899999999999</v>
      </c>
      <c r="O32" s="3"/>
      <c r="P32" s="3">
        <f>AVERAGE(D32,F32,H32,J32,L32,N32)</f>
        <v>4.6095549999999994</v>
      </c>
      <c r="R32" s="7"/>
      <c r="S32" s="7"/>
      <c r="T32" s="7"/>
    </row>
    <row r="33" spans="1:20" ht="15" customHeight="1" x14ac:dyDescent="0.3">
      <c r="A33" s="10"/>
      <c r="B33" s="1" t="s">
        <v>10</v>
      </c>
      <c r="C33" s="3"/>
      <c r="D33" s="3">
        <v>4.4714900000000002</v>
      </c>
      <c r="E33" s="3"/>
      <c r="F33" s="3">
        <v>5.59145</v>
      </c>
      <c r="G33" s="3"/>
      <c r="H33" s="3">
        <v>5.3195899999999998</v>
      </c>
      <c r="I33" s="3"/>
      <c r="J33" s="3">
        <v>4.7229700000000001</v>
      </c>
      <c r="K33" s="3"/>
      <c r="L33" s="3">
        <v>4.2790800000000004</v>
      </c>
      <c r="M33" s="3"/>
      <c r="N33" s="3">
        <v>3.86571</v>
      </c>
      <c r="O33" s="3"/>
      <c r="P33" s="3">
        <f>AVERAGE(D33,F33,H33,J33,L33,N33)</f>
        <v>4.7083816666666669</v>
      </c>
      <c r="R33" s="7"/>
      <c r="S33" s="7"/>
      <c r="T33" s="7"/>
    </row>
    <row r="34" spans="1:20" ht="15" customHeight="1" x14ac:dyDescent="0.3">
      <c r="A34" s="10"/>
      <c r="B34" s="1" t="s">
        <v>11</v>
      </c>
      <c r="C34" s="3"/>
      <c r="D34" s="3">
        <v>4.5896400000000002</v>
      </c>
      <c r="E34" s="3"/>
      <c r="F34" s="3">
        <v>5.5566399999999998</v>
      </c>
      <c r="G34" s="3"/>
      <c r="H34" s="3">
        <v>5.3896800000000002</v>
      </c>
      <c r="I34" s="3"/>
      <c r="J34" s="3">
        <v>4.8712099999999996</v>
      </c>
      <c r="K34" s="3"/>
      <c r="L34" s="3">
        <v>4.3392299999999997</v>
      </c>
      <c r="M34" s="3"/>
      <c r="N34" s="3">
        <v>3.87656</v>
      </c>
      <c r="O34" s="3"/>
      <c r="P34" s="3">
        <f>AVERAGE(D34,F34,H34,J34,L34,N34)</f>
        <v>4.7704933333333335</v>
      </c>
      <c r="R34" s="7"/>
      <c r="S34" s="7"/>
      <c r="T34" s="7"/>
    </row>
    <row r="35" spans="1:20" ht="15" customHeight="1" x14ac:dyDescent="0.3">
      <c r="A35" s="10"/>
      <c r="B35" s="2" t="s">
        <v>12</v>
      </c>
      <c r="C35" s="4"/>
      <c r="D35" s="4">
        <v>4.5360699999999996</v>
      </c>
      <c r="E35" s="4"/>
      <c r="F35" s="4">
        <v>5.5996199999999998</v>
      </c>
      <c r="G35" s="4"/>
      <c r="H35" s="4">
        <v>5.4069700000000003</v>
      </c>
      <c r="I35" s="4"/>
      <c r="J35" s="4">
        <v>4.7460399999999998</v>
      </c>
      <c r="K35" s="4"/>
      <c r="L35" s="4">
        <v>4.26335</v>
      </c>
      <c r="M35" s="4"/>
      <c r="N35" s="4">
        <v>3.8490899999999999</v>
      </c>
      <c r="O35" s="4"/>
      <c r="P35" s="4">
        <f>AVERAGE(D35,F35,H35,J35,L35,N35)</f>
        <v>4.7335233333333333</v>
      </c>
      <c r="R35" s="7"/>
      <c r="S35" s="7"/>
      <c r="T35" s="7"/>
    </row>
    <row r="36" spans="1:20" ht="15" customHeight="1" x14ac:dyDescent="0.3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R36" s="7"/>
      <c r="S36" s="7"/>
      <c r="T36" s="7"/>
    </row>
    <row r="37" spans="1:20" ht="15" customHeight="1" x14ac:dyDescent="0.3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R37" s="7"/>
      <c r="S37" s="7"/>
      <c r="T37" s="7"/>
    </row>
    <row r="38" spans="1:20" ht="15" customHeight="1" x14ac:dyDescent="0.3">
      <c r="A38" s="10" t="s">
        <v>19</v>
      </c>
      <c r="B38" s="11" t="s">
        <v>13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R38" s="7"/>
      <c r="S38" s="7"/>
      <c r="T38" s="7"/>
    </row>
    <row r="39" spans="1:20" ht="15" customHeight="1" x14ac:dyDescent="0.3">
      <c r="A39" s="10"/>
      <c r="B39" s="12" t="s">
        <v>0</v>
      </c>
      <c r="C39" s="12" t="s">
        <v>1</v>
      </c>
      <c r="D39" s="12"/>
      <c r="E39" s="12" t="s">
        <v>2</v>
      </c>
      <c r="F39" s="12"/>
      <c r="G39" s="12" t="s">
        <v>3</v>
      </c>
      <c r="H39" s="12"/>
      <c r="I39" s="12" t="s">
        <v>4</v>
      </c>
      <c r="J39" s="12"/>
      <c r="K39" s="12" t="s">
        <v>5</v>
      </c>
      <c r="L39" s="12"/>
      <c r="M39" s="12" t="s">
        <v>6</v>
      </c>
      <c r="N39" s="12"/>
      <c r="O39" s="12" t="s">
        <v>7</v>
      </c>
      <c r="P39" s="12"/>
      <c r="R39" s="7"/>
      <c r="S39" s="7"/>
      <c r="T39" s="7"/>
    </row>
    <row r="40" spans="1:20" ht="15" customHeight="1" x14ac:dyDescent="0.3">
      <c r="A40" s="10"/>
      <c r="B40" s="13"/>
      <c r="C40" s="2" t="s">
        <v>15</v>
      </c>
      <c r="D40" s="2" t="s">
        <v>16</v>
      </c>
      <c r="E40" s="2" t="s">
        <v>15</v>
      </c>
      <c r="F40" s="2" t="s">
        <v>16</v>
      </c>
      <c r="G40" s="2" t="s">
        <v>15</v>
      </c>
      <c r="H40" s="2" t="s">
        <v>16</v>
      </c>
      <c r="I40" s="2" t="s">
        <v>15</v>
      </c>
      <c r="J40" s="2" t="s">
        <v>16</v>
      </c>
      <c r="K40" s="2" t="s">
        <v>15</v>
      </c>
      <c r="L40" s="2" t="s">
        <v>16</v>
      </c>
      <c r="M40" s="2" t="s">
        <v>15</v>
      </c>
      <c r="N40" s="2" t="s">
        <v>16</v>
      </c>
      <c r="O40" s="2" t="s">
        <v>15</v>
      </c>
      <c r="P40" s="2" t="s">
        <v>16</v>
      </c>
      <c r="R40" s="7"/>
      <c r="S40" s="7"/>
      <c r="T40" s="7"/>
    </row>
    <row r="41" spans="1:20" ht="15" customHeight="1" x14ac:dyDescent="0.3">
      <c r="A41" s="10"/>
      <c r="B41" s="1" t="s">
        <v>8</v>
      </c>
      <c r="C41" s="3"/>
      <c r="D41" s="3">
        <v>4.4246600000000003</v>
      </c>
      <c r="E41" s="3"/>
      <c r="F41" s="3">
        <v>5.2936300000000003</v>
      </c>
      <c r="G41" s="3"/>
      <c r="H41" s="3">
        <v>5.0303100000000001</v>
      </c>
      <c r="I41" s="3"/>
      <c r="J41" s="3">
        <v>4.6042699999999996</v>
      </c>
      <c r="K41" s="3"/>
      <c r="L41" s="3">
        <v>4.0099400000000003</v>
      </c>
      <c r="M41" s="3"/>
      <c r="N41" s="3">
        <v>3.56975</v>
      </c>
      <c r="O41" s="3"/>
      <c r="P41" s="3">
        <f>AVERAGE(D41,F41,H41,J41,L41,N41)</f>
        <v>4.4887600000000001</v>
      </c>
      <c r="R41" s="7"/>
      <c r="S41" s="7"/>
      <c r="T41" s="7"/>
    </row>
    <row r="42" spans="1:20" ht="15" customHeight="1" x14ac:dyDescent="0.3">
      <c r="A42" s="10"/>
      <c r="B42" s="1" t="s">
        <v>9</v>
      </c>
      <c r="C42" s="3"/>
      <c r="D42" s="3">
        <v>4.6986999999999997</v>
      </c>
      <c r="E42" s="3"/>
      <c r="F42" s="3">
        <v>5.6137300000000003</v>
      </c>
      <c r="G42" s="3"/>
      <c r="H42" s="3">
        <v>5.3724999999999996</v>
      </c>
      <c r="I42" s="3"/>
      <c r="J42" s="3">
        <v>4.8760899999999996</v>
      </c>
      <c r="K42" s="3"/>
      <c r="L42" s="3">
        <v>4.3469600000000002</v>
      </c>
      <c r="M42" s="3"/>
      <c r="N42" s="3">
        <v>3.8274699999999999</v>
      </c>
      <c r="O42" s="3"/>
      <c r="P42" s="3">
        <f>AVERAGE(D42,F42,H42,J42,L42,N42)</f>
        <v>4.7892416666666664</v>
      </c>
      <c r="R42" s="7"/>
      <c r="S42" s="7"/>
      <c r="T42" s="7"/>
    </row>
    <row r="43" spans="1:20" ht="15" customHeight="1" x14ac:dyDescent="0.3">
      <c r="A43" s="10"/>
      <c r="B43" s="1" t="s">
        <v>10</v>
      </c>
      <c r="C43" s="3"/>
      <c r="D43" s="3">
        <v>4.8916500000000003</v>
      </c>
      <c r="E43" s="3"/>
      <c r="F43" s="3">
        <v>5.7548000000000004</v>
      </c>
      <c r="G43" s="3"/>
      <c r="H43" s="3">
        <v>5.5430400000000004</v>
      </c>
      <c r="I43" s="3"/>
      <c r="J43" s="3">
        <v>5.0887799999999999</v>
      </c>
      <c r="K43" s="3"/>
      <c r="L43" s="3">
        <v>4.6174200000000001</v>
      </c>
      <c r="M43" s="3"/>
      <c r="N43" s="3">
        <v>4.0554100000000002</v>
      </c>
      <c r="O43" s="3"/>
      <c r="P43" s="3">
        <f>AVERAGE(D43,F43,H43,J43,L43,N43)</f>
        <v>4.9918500000000003</v>
      </c>
      <c r="R43" s="7"/>
      <c r="S43" s="7"/>
      <c r="T43" s="7"/>
    </row>
    <row r="44" spans="1:20" ht="15" customHeight="1" x14ac:dyDescent="0.3">
      <c r="A44" s="10"/>
      <c r="B44" s="1" t="s">
        <v>11</v>
      </c>
      <c r="C44" s="3"/>
      <c r="D44" s="3">
        <v>4.9468199999999998</v>
      </c>
      <c r="E44" s="3"/>
      <c r="F44" s="3">
        <v>5.7874699999999999</v>
      </c>
      <c r="G44" s="3"/>
      <c r="H44" s="3">
        <v>5.5818099999999999</v>
      </c>
      <c r="I44" s="3"/>
      <c r="J44" s="3">
        <v>5.1713500000000003</v>
      </c>
      <c r="K44" s="3"/>
      <c r="L44" s="3">
        <v>4.6573900000000004</v>
      </c>
      <c r="M44" s="3"/>
      <c r="N44" s="3">
        <v>4.0957600000000003</v>
      </c>
      <c r="O44" s="3"/>
      <c r="P44" s="3">
        <f>AVERAGE(D44,F44,H44,J44,L44,N44)</f>
        <v>5.0400999999999998</v>
      </c>
      <c r="R44" s="7"/>
      <c r="S44" s="7"/>
      <c r="T44" s="7"/>
    </row>
    <row r="45" spans="1:20" ht="15" customHeight="1" x14ac:dyDescent="0.3">
      <c r="A45" s="10"/>
      <c r="B45" s="2" t="s">
        <v>12</v>
      </c>
      <c r="C45" s="4"/>
      <c r="D45" s="4">
        <v>5.0161800000000003</v>
      </c>
      <c r="E45" s="4"/>
      <c r="F45" s="4">
        <v>5.9340799999999998</v>
      </c>
      <c r="G45" s="4"/>
      <c r="H45" s="4">
        <v>5.8495100000000004</v>
      </c>
      <c r="I45" s="4"/>
      <c r="J45" s="4">
        <v>5.18804</v>
      </c>
      <c r="K45" s="4"/>
      <c r="L45" s="4">
        <v>4.7650699999999997</v>
      </c>
      <c r="M45" s="4"/>
      <c r="N45" s="4">
        <v>4.1074799999999998</v>
      </c>
      <c r="O45" s="4"/>
      <c r="P45" s="4">
        <f>AVERAGE(D45,F45,H45,J45,L45,N45)</f>
        <v>5.1433933333333339</v>
      </c>
      <c r="R45" s="7"/>
      <c r="S45" s="7"/>
      <c r="T45" s="7"/>
    </row>
    <row r="46" spans="1:20" ht="15" customHeight="1" x14ac:dyDescent="0.3">
      <c r="A46" s="10"/>
      <c r="B46" s="11" t="s">
        <v>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R46" s="7"/>
      <c r="S46" s="7"/>
      <c r="T46" s="7"/>
    </row>
    <row r="47" spans="1:20" ht="15" customHeight="1" x14ac:dyDescent="0.3">
      <c r="A47" s="10"/>
      <c r="B47" s="12" t="s">
        <v>0</v>
      </c>
      <c r="C47" s="12" t="s">
        <v>1</v>
      </c>
      <c r="D47" s="12"/>
      <c r="E47" s="12" t="s">
        <v>2</v>
      </c>
      <c r="F47" s="12"/>
      <c r="G47" s="12" t="s">
        <v>3</v>
      </c>
      <c r="H47" s="12"/>
      <c r="I47" s="12" t="s">
        <v>4</v>
      </c>
      <c r="J47" s="12"/>
      <c r="K47" s="12" t="s">
        <v>5</v>
      </c>
      <c r="L47" s="12"/>
      <c r="M47" s="12" t="s">
        <v>6</v>
      </c>
      <c r="N47" s="12"/>
      <c r="O47" s="12" t="s">
        <v>7</v>
      </c>
      <c r="P47" s="12"/>
      <c r="R47" s="7"/>
      <c r="S47" s="7"/>
      <c r="T47" s="7"/>
    </row>
    <row r="48" spans="1:20" ht="15" customHeight="1" x14ac:dyDescent="0.3">
      <c r="A48" s="10"/>
      <c r="B48" s="13"/>
      <c r="C48" s="2" t="s">
        <v>15</v>
      </c>
      <c r="D48" s="2" t="s">
        <v>16</v>
      </c>
      <c r="E48" s="2" t="s">
        <v>15</v>
      </c>
      <c r="F48" s="2" t="s">
        <v>16</v>
      </c>
      <c r="G48" s="2" t="s">
        <v>15</v>
      </c>
      <c r="H48" s="2" t="s">
        <v>16</v>
      </c>
      <c r="I48" s="2" t="s">
        <v>15</v>
      </c>
      <c r="J48" s="2" t="s">
        <v>16</v>
      </c>
      <c r="K48" s="2" t="s">
        <v>15</v>
      </c>
      <c r="L48" s="2" t="s">
        <v>16</v>
      </c>
      <c r="M48" s="2" t="s">
        <v>15</v>
      </c>
      <c r="N48" s="2" t="s">
        <v>16</v>
      </c>
      <c r="O48" s="2" t="s">
        <v>15</v>
      </c>
      <c r="P48" s="2" t="s">
        <v>16</v>
      </c>
      <c r="R48" s="7"/>
      <c r="S48" s="7"/>
      <c r="T48" s="7"/>
    </row>
    <row r="49" spans="1:20" ht="15" customHeight="1" x14ac:dyDescent="0.3">
      <c r="A49" s="10"/>
      <c r="B49" s="1" t="s">
        <v>8</v>
      </c>
      <c r="C49" s="3"/>
      <c r="D49" s="3">
        <v>4.1194499999999996</v>
      </c>
      <c r="E49" s="3"/>
      <c r="F49" s="3">
        <v>5.1203599999999998</v>
      </c>
      <c r="G49" s="3"/>
      <c r="H49" s="3">
        <v>4.8131599999999999</v>
      </c>
      <c r="I49" s="3"/>
      <c r="J49" s="3">
        <v>4.29678</v>
      </c>
      <c r="K49" s="3"/>
      <c r="L49" s="3">
        <v>3.7155300000000002</v>
      </c>
      <c r="M49" s="3"/>
      <c r="N49" s="3">
        <v>3.2848999999999999</v>
      </c>
      <c r="O49" s="3"/>
      <c r="P49" s="3">
        <f>AVERAGE(D49,F49,H49,J49,L49,N49)</f>
        <v>4.2250300000000003</v>
      </c>
      <c r="R49" s="7"/>
      <c r="S49" s="7"/>
      <c r="T49" s="7"/>
    </row>
    <row r="50" spans="1:20" ht="15" customHeight="1" x14ac:dyDescent="0.3">
      <c r="A50" s="10"/>
      <c r="B50" s="1" t="s">
        <v>9</v>
      </c>
      <c r="C50" s="3"/>
      <c r="D50" s="3">
        <v>4.2852399999999999</v>
      </c>
      <c r="E50" s="3"/>
      <c r="F50" s="3">
        <v>5.3870699999999996</v>
      </c>
      <c r="G50" s="3"/>
      <c r="H50" s="3">
        <v>5.17645</v>
      </c>
      <c r="I50" s="3"/>
      <c r="J50" s="3">
        <v>4.6856400000000002</v>
      </c>
      <c r="K50" s="3"/>
      <c r="L50" s="3">
        <v>4.0411799999999998</v>
      </c>
      <c r="M50" s="3"/>
      <c r="N50" s="3">
        <v>3.5925400000000001</v>
      </c>
      <c r="O50" s="3"/>
      <c r="P50" s="3">
        <f>AVERAGE(D50,F50,H50,J50,L50,N50)</f>
        <v>4.5280199999999997</v>
      </c>
      <c r="R50" s="7"/>
      <c r="S50" s="7"/>
      <c r="T50" s="7"/>
    </row>
    <row r="51" spans="1:20" ht="15" customHeight="1" x14ac:dyDescent="0.3">
      <c r="A51" s="10"/>
      <c r="B51" s="1" t="s">
        <v>10</v>
      </c>
      <c r="C51" s="3"/>
      <c r="D51" s="3">
        <v>4.4340000000000002</v>
      </c>
      <c r="E51" s="3"/>
      <c r="F51" s="3">
        <v>5.5731700000000002</v>
      </c>
      <c r="G51" s="3"/>
      <c r="H51" s="3">
        <v>5.3862300000000003</v>
      </c>
      <c r="I51" s="3"/>
      <c r="J51" s="3">
        <v>4.6628800000000004</v>
      </c>
      <c r="K51" s="3"/>
      <c r="L51" s="3">
        <v>4.2347299999999999</v>
      </c>
      <c r="M51" s="3"/>
      <c r="N51" s="3">
        <v>3.7417899999999999</v>
      </c>
      <c r="O51" s="3"/>
      <c r="P51" s="3">
        <f>AVERAGE(D51,F51,H51,J51,L51,N51)</f>
        <v>4.6721333333333339</v>
      </c>
      <c r="R51" s="7"/>
      <c r="S51" s="7"/>
      <c r="T51" s="7"/>
    </row>
    <row r="52" spans="1:20" ht="15" customHeight="1" x14ac:dyDescent="0.3">
      <c r="A52" s="10"/>
      <c r="B52" s="1" t="s">
        <v>11</v>
      </c>
      <c r="C52" s="3"/>
      <c r="D52" s="3">
        <v>4.5335799999999997</v>
      </c>
      <c r="E52" s="3"/>
      <c r="F52" s="3">
        <v>5.4680799999999996</v>
      </c>
      <c r="G52" s="3"/>
      <c r="H52" s="3">
        <v>5.3467000000000002</v>
      </c>
      <c r="I52" s="3"/>
      <c r="J52" s="3">
        <v>4.77583</v>
      </c>
      <c r="K52" s="3"/>
      <c r="L52" s="3">
        <v>4.34551</v>
      </c>
      <c r="M52" s="3"/>
      <c r="N52" s="3">
        <v>3.8206500000000001</v>
      </c>
      <c r="O52" s="3"/>
      <c r="P52" s="3">
        <f>AVERAGE(D52,F52,H52,J52,L52,N52)</f>
        <v>4.7150583333333334</v>
      </c>
      <c r="R52" s="7"/>
      <c r="S52" s="7"/>
      <c r="T52" s="7"/>
    </row>
    <row r="53" spans="1:20" ht="15" customHeight="1" x14ac:dyDescent="0.3">
      <c r="A53" s="10"/>
      <c r="B53" s="2" t="s">
        <v>12</v>
      </c>
      <c r="C53" s="4"/>
      <c r="D53" s="4">
        <v>4.5871399999999998</v>
      </c>
      <c r="E53" s="4"/>
      <c r="F53" s="4">
        <v>5.8030799999999996</v>
      </c>
      <c r="G53" s="4"/>
      <c r="H53" s="4">
        <v>5.60609</v>
      </c>
      <c r="I53" s="4"/>
      <c r="J53" s="4">
        <v>4.9135099999999996</v>
      </c>
      <c r="K53" s="4"/>
      <c r="L53" s="4">
        <v>4.3998900000000001</v>
      </c>
      <c r="M53" s="4"/>
      <c r="N53" s="4">
        <v>3.82565</v>
      </c>
      <c r="O53" s="4"/>
      <c r="P53" s="4">
        <f>AVERAGE(D53,F53,H53,J53,L53,N53)</f>
        <v>4.8558933333333334</v>
      </c>
      <c r="R53" s="7"/>
      <c r="S53" s="7"/>
      <c r="T53" s="7"/>
    </row>
    <row r="54" spans="1:20" ht="15" customHeight="1" x14ac:dyDescent="0.3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R54" s="7"/>
      <c r="S54" s="7"/>
      <c r="T54" s="7"/>
    </row>
    <row r="55" spans="1:20" ht="15" customHeight="1" x14ac:dyDescent="0.3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R55" s="7"/>
      <c r="S55" s="7"/>
      <c r="T55" s="7"/>
    </row>
    <row r="56" spans="1:20" ht="15" customHeight="1" x14ac:dyDescent="0.3">
      <c r="A56" s="10" t="s">
        <v>45</v>
      </c>
      <c r="B56" s="11" t="s">
        <v>13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R56" s="7"/>
      <c r="S56" s="7"/>
      <c r="T56" s="7"/>
    </row>
    <row r="57" spans="1:20" ht="15" customHeight="1" x14ac:dyDescent="0.3">
      <c r="A57" s="10"/>
      <c r="B57" s="12" t="s">
        <v>0</v>
      </c>
      <c r="C57" s="12" t="s">
        <v>1</v>
      </c>
      <c r="D57" s="12"/>
      <c r="E57" s="12" t="s">
        <v>2</v>
      </c>
      <c r="F57" s="12"/>
      <c r="G57" s="12" t="s">
        <v>3</v>
      </c>
      <c r="H57" s="12"/>
      <c r="I57" s="12" t="s">
        <v>4</v>
      </c>
      <c r="J57" s="12"/>
      <c r="K57" s="12" t="s">
        <v>5</v>
      </c>
      <c r="L57" s="12"/>
      <c r="M57" s="12" t="s">
        <v>6</v>
      </c>
      <c r="N57" s="12"/>
      <c r="O57" s="12" t="s">
        <v>7</v>
      </c>
      <c r="P57" s="12"/>
      <c r="R57" s="7"/>
      <c r="S57" s="7"/>
      <c r="T57" s="7"/>
    </row>
    <row r="58" spans="1:20" ht="15" customHeight="1" x14ac:dyDescent="0.3">
      <c r="A58" s="10"/>
      <c r="B58" s="13"/>
      <c r="C58" s="2" t="s">
        <v>15</v>
      </c>
      <c r="D58" s="2" t="s">
        <v>16</v>
      </c>
      <c r="E58" s="2" t="s">
        <v>15</v>
      </c>
      <c r="F58" s="2" t="s">
        <v>16</v>
      </c>
      <c r="G58" s="2" t="s">
        <v>15</v>
      </c>
      <c r="H58" s="2" t="s">
        <v>16</v>
      </c>
      <c r="I58" s="2" t="s">
        <v>15</v>
      </c>
      <c r="J58" s="2" t="s">
        <v>16</v>
      </c>
      <c r="K58" s="2" t="s">
        <v>15</v>
      </c>
      <c r="L58" s="2" t="s">
        <v>16</v>
      </c>
      <c r="M58" s="2" t="s">
        <v>15</v>
      </c>
      <c r="N58" s="2" t="s">
        <v>16</v>
      </c>
      <c r="O58" s="2" t="s">
        <v>15</v>
      </c>
      <c r="P58" s="2" t="s">
        <v>16</v>
      </c>
      <c r="R58" s="7"/>
      <c r="S58" s="7"/>
      <c r="T58" s="7"/>
    </row>
    <row r="59" spans="1:20" ht="15" customHeight="1" x14ac:dyDescent="0.3">
      <c r="A59" s="10"/>
      <c r="B59" s="1" t="s">
        <v>8</v>
      </c>
      <c r="C59" s="3"/>
      <c r="D59" s="3">
        <v>4.5689299999999999</v>
      </c>
      <c r="E59" s="3"/>
      <c r="F59" s="3">
        <v>5.5732100000000004</v>
      </c>
      <c r="G59" s="3"/>
      <c r="H59" s="3">
        <v>5.1474900000000003</v>
      </c>
      <c r="I59" s="3"/>
      <c r="J59" s="3">
        <v>4.7865599999999997</v>
      </c>
      <c r="K59" s="3"/>
      <c r="L59" s="3">
        <v>4.1556199999999999</v>
      </c>
      <c r="M59" s="3"/>
      <c r="N59" s="3">
        <v>3.6334300000000002</v>
      </c>
      <c r="O59" s="3"/>
      <c r="P59" s="3">
        <f>AVERAGE(D59,F59,H59,J59,L59,N59)</f>
        <v>4.6442066666666673</v>
      </c>
      <c r="R59" s="7"/>
      <c r="S59" s="7"/>
      <c r="T59" s="7"/>
    </row>
    <row r="60" spans="1:20" ht="15" customHeight="1" x14ac:dyDescent="0.3">
      <c r="A60" s="10"/>
      <c r="B60" s="1" t="s">
        <v>9</v>
      </c>
      <c r="C60" s="3"/>
      <c r="D60" s="3">
        <v>4.9636199999999997</v>
      </c>
      <c r="E60" s="3"/>
      <c r="F60" s="3">
        <v>5.8313199999999998</v>
      </c>
      <c r="G60" s="3"/>
      <c r="H60" s="3">
        <v>5.6455599999999997</v>
      </c>
      <c r="I60" s="3"/>
      <c r="J60" s="3">
        <v>5.1763000000000003</v>
      </c>
      <c r="K60" s="3"/>
      <c r="L60" s="3">
        <v>4.6677099999999996</v>
      </c>
      <c r="M60" s="3"/>
      <c r="N60" s="3">
        <v>4.0916800000000002</v>
      </c>
      <c r="O60" s="3"/>
      <c r="P60" s="3">
        <f>AVERAGE(D60,F60,H60,J60,L60,N60)</f>
        <v>5.0626983333333335</v>
      </c>
      <c r="R60" s="7"/>
      <c r="S60" s="7"/>
      <c r="T60" s="7"/>
    </row>
    <row r="61" spans="1:20" ht="15" customHeight="1" x14ac:dyDescent="0.3">
      <c r="A61" s="10"/>
      <c r="B61" s="1" t="s">
        <v>10</v>
      </c>
      <c r="C61" s="3"/>
      <c r="D61" s="3">
        <v>5.1536600000000004</v>
      </c>
      <c r="E61" s="3"/>
      <c r="F61" s="3">
        <v>6.0681799999999999</v>
      </c>
      <c r="G61" s="3"/>
      <c r="H61" s="3">
        <v>5.8374499999999996</v>
      </c>
      <c r="I61" s="3"/>
      <c r="J61" s="3">
        <v>5.4357300000000004</v>
      </c>
      <c r="K61" s="3"/>
      <c r="L61" s="3">
        <v>4.9444400000000002</v>
      </c>
      <c r="M61" s="3"/>
      <c r="N61" s="3">
        <v>4.3256100000000002</v>
      </c>
      <c r="O61" s="3"/>
      <c r="P61" s="3">
        <f>AVERAGE(D61,F61,H61,J61,L61,N61)</f>
        <v>5.2941783333333339</v>
      </c>
      <c r="R61" s="7"/>
      <c r="S61" s="7"/>
      <c r="T61" s="7"/>
    </row>
    <row r="62" spans="1:20" ht="15" customHeight="1" x14ac:dyDescent="0.3">
      <c r="A62" s="10"/>
      <c r="B62" s="1" t="s">
        <v>11</v>
      </c>
      <c r="C62" s="3"/>
      <c r="D62" s="3">
        <v>5.2013699999999998</v>
      </c>
      <c r="E62" s="3"/>
      <c r="F62" s="3">
        <v>6.0914299999999999</v>
      </c>
      <c r="G62" s="3"/>
      <c r="H62" s="3">
        <v>5.9162600000000003</v>
      </c>
      <c r="I62" s="3"/>
      <c r="J62" s="3">
        <v>5.4433999999999996</v>
      </c>
      <c r="K62" s="3"/>
      <c r="L62" s="3">
        <v>4.88727</v>
      </c>
      <c r="M62" s="3"/>
      <c r="N62" s="3">
        <v>4.2856500000000004</v>
      </c>
      <c r="O62" s="3"/>
      <c r="P62" s="3">
        <f>AVERAGE(D62,F62,H62,J62,L62,N62)</f>
        <v>5.3042300000000004</v>
      </c>
      <c r="R62" s="7"/>
      <c r="S62" s="7"/>
      <c r="T62" s="7"/>
    </row>
    <row r="63" spans="1:20" ht="15" customHeight="1" x14ac:dyDescent="0.3">
      <c r="A63" s="10"/>
      <c r="B63" s="2" t="s">
        <v>12</v>
      </c>
      <c r="C63" s="4"/>
      <c r="D63" s="4">
        <v>5.2447999999999997</v>
      </c>
      <c r="E63" s="4"/>
      <c r="F63" s="4">
        <v>6.1273299999999997</v>
      </c>
      <c r="G63" s="4"/>
      <c r="H63" s="4">
        <v>5.9121600000000001</v>
      </c>
      <c r="I63" s="4"/>
      <c r="J63" s="4">
        <v>5.4331800000000001</v>
      </c>
      <c r="K63" s="4"/>
      <c r="L63" s="4">
        <v>5.1311099999999996</v>
      </c>
      <c r="M63" s="4"/>
      <c r="N63" s="4">
        <v>4.3350200000000001</v>
      </c>
      <c r="O63" s="4"/>
      <c r="P63" s="4">
        <f>AVERAGE(D63,F63,H63,J63,L63,N63)</f>
        <v>5.3639333333333328</v>
      </c>
      <c r="R63" s="7"/>
      <c r="S63" s="7"/>
      <c r="T63" s="7"/>
    </row>
    <row r="64" spans="1:20" ht="15" customHeight="1" x14ac:dyDescent="0.3">
      <c r="A64" s="10"/>
      <c r="B64" s="11" t="s">
        <v>14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R64" s="7"/>
      <c r="S64" s="7"/>
      <c r="T64" s="7"/>
    </row>
    <row r="65" spans="1:20" ht="15" customHeight="1" x14ac:dyDescent="0.3">
      <c r="A65" s="10"/>
      <c r="B65" s="12" t="s">
        <v>0</v>
      </c>
      <c r="C65" s="12" t="s">
        <v>1</v>
      </c>
      <c r="D65" s="12"/>
      <c r="E65" s="12" t="s">
        <v>2</v>
      </c>
      <c r="F65" s="12"/>
      <c r="G65" s="12" t="s">
        <v>3</v>
      </c>
      <c r="H65" s="12"/>
      <c r="I65" s="12" t="s">
        <v>4</v>
      </c>
      <c r="J65" s="12"/>
      <c r="K65" s="12" t="s">
        <v>5</v>
      </c>
      <c r="L65" s="12"/>
      <c r="M65" s="12" t="s">
        <v>6</v>
      </c>
      <c r="N65" s="12"/>
      <c r="O65" s="12" t="s">
        <v>7</v>
      </c>
      <c r="P65" s="12"/>
      <c r="R65" s="7"/>
      <c r="S65" s="7"/>
      <c r="T65" s="7"/>
    </row>
    <row r="66" spans="1:20" ht="15" customHeight="1" x14ac:dyDescent="0.3">
      <c r="A66" s="10"/>
      <c r="B66" s="13"/>
      <c r="C66" s="2" t="s">
        <v>15</v>
      </c>
      <c r="D66" s="2" t="s">
        <v>16</v>
      </c>
      <c r="E66" s="2" t="s">
        <v>15</v>
      </c>
      <c r="F66" s="2" t="s">
        <v>16</v>
      </c>
      <c r="G66" s="2" t="s">
        <v>15</v>
      </c>
      <c r="H66" s="2" t="s">
        <v>16</v>
      </c>
      <c r="I66" s="2" t="s">
        <v>15</v>
      </c>
      <c r="J66" s="2" t="s">
        <v>16</v>
      </c>
      <c r="K66" s="2" t="s">
        <v>15</v>
      </c>
      <c r="L66" s="2" t="s">
        <v>16</v>
      </c>
      <c r="M66" s="2" t="s">
        <v>15</v>
      </c>
      <c r="N66" s="2" t="s">
        <v>16</v>
      </c>
      <c r="O66" s="2" t="s">
        <v>15</v>
      </c>
      <c r="P66" s="2" t="s">
        <v>16</v>
      </c>
      <c r="R66" s="7"/>
      <c r="S66" s="7"/>
      <c r="T66" s="7"/>
    </row>
    <row r="67" spans="1:20" ht="15" customHeight="1" x14ac:dyDescent="0.3">
      <c r="A67" s="10"/>
      <c r="B67" s="1" t="s">
        <v>8</v>
      </c>
      <c r="C67" s="3"/>
      <c r="D67" s="3">
        <v>4.1356999999999999</v>
      </c>
      <c r="E67" s="3"/>
      <c r="F67" s="3">
        <v>5.3262299999999998</v>
      </c>
      <c r="G67" s="3"/>
      <c r="H67" s="3">
        <v>4.8702199999999998</v>
      </c>
      <c r="I67" s="3"/>
      <c r="J67" s="3">
        <v>4.4009</v>
      </c>
      <c r="K67" s="3"/>
      <c r="L67" s="3">
        <v>3.8662399999999999</v>
      </c>
      <c r="M67" s="3"/>
      <c r="N67" s="3">
        <v>3.46048</v>
      </c>
      <c r="O67" s="3"/>
      <c r="P67" s="3">
        <f>AVERAGE(D67,F67,H67,J67,L67,N67)</f>
        <v>4.3432950000000003</v>
      </c>
      <c r="R67" s="7"/>
      <c r="S67" s="7"/>
      <c r="T67" s="7"/>
    </row>
    <row r="68" spans="1:20" ht="15" customHeight="1" x14ac:dyDescent="0.3">
      <c r="A68" s="10"/>
      <c r="B68" s="1" t="s">
        <v>9</v>
      </c>
      <c r="C68" s="3"/>
      <c r="D68" s="3">
        <v>4.47675</v>
      </c>
      <c r="E68" s="3"/>
      <c r="F68" s="3">
        <v>5.66073</v>
      </c>
      <c r="G68" s="3"/>
      <c r="H68" s="3">
        <v>5.4292499999999997</v>
      </c>
      <c r="I68" s="3"/>
      <c r="J68" s="3">
        <v>4.84232</v>
      </c>
      <c r="K68" s="3"/>
      <c r="L68" s="3">
        <v>4.2573600000000003</v>
      </c>
      <c r="M68" s="3"/>
      <c r="N68" s="3">
        <v>3.7513200000000002</v>
      </c>
      <c r="O68" s="3"/>
      <c r="P68" s="3">
        <f>AVERAGE(D68,F68,H68,J68,L68,N68)</f>
        <v>4.7362883333333334</v>
      </c>
      <c r="R68" s="7"/>
      <c r="S68" s="7"/>
      <c r="T68" s="7"/>
    </row>
    <row r="69" spans="1:20" ht="15" customHeight="1" x14ac:dyDescent="0.3">
      <c r="A69" s="10"/>
      <c r="B69" s="1" t="s">
        <v>10</v>
      </c>
      <c r="C69" s="3"/>
      <c r="D69" s="3">
        <v>4.6834899999999999</v>
      </c>
      <c r="E69" s="3"/>
      <c r="F69" s="3">
        <v>5.8116199999999996</v>
      </c>
      <c r="G69" s="3"/>
      <c r="H69" s="3">
        <v>5.6635</v>
      </c>
      <c r="I69" s="3"/>
      <c r="J69" s="3">
        <v>5.0595999999999997</v>
      </c>
      <c r="K69" s="3"/>
      <c r="L69" s="3">
        <v>4.5441099999999999</v>
      </c>
      <c r="M69" s="3"/>
      <c r="N69" s="3">
        <v>4.0245899999999999</v>
      </c>
      <c r="O69" s="3"/>
      <c r="P69" s="3">
        <f>AVERAGE(D69,F69,H69,J69,L69,N69)</f>
        <v>4.9644849999999998</v>
      </c>
      <c r="R69" s="7"/>
      <c r="S69" s="7"/>
      <c r="T69" s="7"/>
    </row>
    <row r="70" spans="1:20" ht="15" customHeight="1" x14ac:dyDescent="0.3">
      <c r="A70" s="10"/>
      <c r="B70" s="1" t="s">
        <v>11</v>
      </c>
      <c r="C70" s="3"/>
      <c r="D70" s="3">
        <v>4.76328</v>
      </c>
      <c r="E70" s="3"/>
      <c r="F70" s="3">
        <v>5.8237800000000002</v>
      </c>
      <c r="G70" s="3"/>
      <c r="H70" s="3">
        <v>5.6883499999999998</v>
      </c>
      <c r="I70" s="3"/>
      <c r="J70" s="3">
        <v>5.0670299999999999</v>
      </c>
      <c r="K70" s="3"/>
      <c r="L70" s="3">
        <v>4.43344</v>
      </c>
      <c r="M70" s="3"/>
      <c r="N70" s="3">
        <v>4.1517099999999996</v>
      </c>
      <c r="O70" s="3"/>
      <c r="P70" s="3">
        <f>AVERAGE(D70,F70,H70,J70,L70,N70)</f>
        <v>4.9879316666666673</v>
      </c>
      <c r="R70" s="7"/>
      <c r="S70" s="7"/>
      <c r="T70" s="7"/>
    </row>
    <row r="71" spans="1:20" ht="15" customHeight="1" x14ac:dyDescent="0.3">
      <c r="A71" s="10"/>
      <c r="B71" s="2" t="s">
        <v>12</v>
      </c>
      <c r="C71" s="4"/>
      <c r="D71" s="4">
        <v>4.8011799999999996</v>
      </c>
      <c r="E71" s="4"/>
      <c r="F71" s="4">
        <v>5.8531700000000004</v>
      </c>
      <c r="G71" s="4"/>
      <c r="H71" s="4">
        <v>5.7463300000000004</v>
      </c>
      <c r="I71" s="4"/>
      <c r="J71" s="4">
        <v>5.0921599999999998</v>
      </c>
      <c r="K71" s="4"/>
      <c r="L71" s="4">
        <v>4.6106199999999999</v>
      </c>
      <c r="M71" s="4"/>
      <c r="N71" s="4">
        <v>4.0481800000000003</v>
      </c>
      <c r="O71" s="4"/>
      <c r="P71" s="4">
        <f>AVERAGE(D71,F71,H71,J71,L71,N71)</f>
        <v>5.0252733333333337</v>
      </c>
      <c r="R71" s="7"/>
      <c r="S71" s="7"/>
      <c r="T71" s="7"/>
    </row>
    <row r="72" spans="1:20" ht="15" customHeight="1" x14ac:dyDescent="0.3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R72" s="7"/>
      <c r="S72" s="7"/>
      <c r="T72" s="7"/>
    </row>
    <row r="73" spans="1:20" ht="15" customHeight="1" x14ac:dyDescent="0.3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R73" s="7"/>
      <c r="S73" s="7"/>
      <c r="T73" s="7"/>
    </row>
    <row r="74" spans="1:20" ht="15" customHeight="1" x14ac:dyDescent="0.3">
      <c r="A74" s="9" t="s">
        <v>46</v>
      </c>
      <c r="B74" s="11" t="s">
        <v>13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R74" s="7"/>
      <c r="S74" s="7"/>
      <c r="T74" s="7"/>
    </row>
    <row r="75" spans="1:20" ht="15" customHeight="1" x14ac:dyDescent="0.3">
      <c r="A75" s="10"/>
      <c r="B75" s="12" t="s">
        <v>0</v>
      </c>
      <c r="C75" s="12" t="s">
        <v>1</v>
      </c>
      <c r="D75" s="12"/>
      <c r="E75" s="12" t="s">
        <v>2</v>
      </c>
      <c r="F75" s="12"/>
      <c r="G75" s="12" t="s">
        <v>3</v>
      </c>
      <c r="H75" s="12"/>
      <c r="I75" s="12" t="s">
        <v>4</v>
      </c>
      <c r="J75" s="12"/>
      <c r="K75" s="12" t="s">
        <v>5</v>
      </c>
      <c r="L75" s="12"/>
      <c r="M75" s="12" t="s">
        <v>6</v>
      </c>
      <c r="N75" s="12"/>
      <c r="O75" s="12" t="s">
        <v>7</v>
      </c>
      <c r="P75" s="12"/>
      <c r="R75" s="7"/>
      <c r="S75" s="7"/>
      <c r="T75" s="7"/>
    </row>
    <row r="76" spans="1:20" ht="15" customHeight="1" x14ac:dyDescent="0.3">
      <c r="A76" s="10"/>
      <c r="B76" s="13"/>
      <c r="C76" s="2" t="s">
        <v>15</v>
      </c>
      <c r="D76" s="2" t="s">
        <v>16</v>
      </c>
      <c r="E76" s="2" t="s">
        <v>15</v>
      </c>
      <c r="F76" s="2" t="s">
        <v>16</v>
      </c>
      <c r="G76" s="2" t="s">
        <v>15</v>
      </c>
      <c r="H76" s="2" t="s">
        <v>16</v>
      </c>
      <c r="I76" s="2" t="s">
        <v>15</v>
      </c>
      <c r="J76" s="2" t="s">
        <v>16</v>
      </c>
      <c r="K76" s="2" t="s">
        <v>15</v>
      </c>
      <c r="L76" s="2" t="s">
        <v>16</v>
      </c>
      <c r="M76" s="2" t="s">
        <v>15</v>
      </c>
      <c r="N76" s="2" t="s">
        <v>16</v>
      </c>
      <c r="O76" s="2" t="s">
        <v>15</v>
      </c>
      <c r="P76" s="2" t="s">
        <v>16</v>
      </c>
      <c r="R76" s="7"/>
      <c r="S76" s="7"/>
      <c r="T76" s="7"/>
    </row>
    <row r="77" spans="1:20" ht="15" customHeight="1" x14ac:dyDescent="0.3">
      <c r="A77" s="10"/>
      <c r="B77" s="1" t="s">
        <v>8</v>
      </c>
      <c r="C77" s="3"/>
      <c r="D77" s="3">
        <v>4.6461800000000002</v>
      </c>
      <c r="E77" s="3"/>
      <c r="F77" s="3">
        <v>5.7082499999999996</v>
      </c>
      <c r="G77" s="3"/>
      <c r="H77" s="3">
        <v>5.4791999999999996</v>
      </c>
      <c r="I77" s="3"/>
      <c r="J77" s="3">
        <v>4.8402599999999998</v>
      </c>
      <c r="K77" s="3"/>
      <c r="L77" s="3">
        <v>4.3976300000000004</v>
      </c>
      <c r="M77" s="3"/>
      <c r="N77" s="3">
        <v>3.82822</v>
      </c>
      <c r="O77" s="3"/>
      <c r="P77" s="3">
        <f>AVERAGE(D77,F77,H77,J77,L77,N77)</f>
        <v>4.8166233333333333</v>
      </c>
      <c r="R77" s="7"/>
      <c r="S77" s="7"/>
      <c r="T77" s="7"/>
    </row>
    <row r="78" spans="1:20" ht="15" customHeight="1" x14ac:dyDescent="0.3">
      <c r="A78" s="10"/>
      <c r="B78" s="1" t="s">
        <v>10</v>
      </c>
      <c r="C78" s="3"/>
      <c r="D78" s="3">
        <v>4.8698699999999997</v>
      </c>
      <c r="E78" s="3"/>
      <c r="F78" s="3">
        <v>5.9710700000000001</v>
      </c>
      <c r="G78" s="3"/>
      <c r="H78" s="3">
        <v>5.6823300000000003</v>
      </c>
      <c r="I78" s="3"/>
      <c r="J78" s="3">
        <v>5.1452799999999996</v>
      </c>
      <c r="K78" s="3"/>
      <c r="L78" s="3">
        <v>4.7675299999999998</v>
      </c>
      <c r="M78" s="3"/>
      <c r="N78" s="3">
        <v>4.1111500000000003</v>
      </c>
      <c r="O78" s="3"/>
      <c r="P78" s="3">
        <f>AVERAGE(D78,F78,H78,J78,L78,N78)</f>
        <v>5.0912049999999995</v>
      </c>
      <c r="R78" s="7"/>
      <c r="S78" s="7"/>
      <c r="T78" s="7"/>
    </row>
    <row r="79" spans="1:20" ht="15" customHeight="1" x14ac:dyDescent="0.3">
      <c r="A79" s="10"/>
      <c r="B79" s="2" t="s">
        <v>12</v>
      </c>
      <c r="C79" s="4"/>
      <c r="D79" s="4">
        <v>4.9489000000000001</v>
      </c>
      <c r="E79" s="4"/>
      <c r="F79" s="4">
        <v>6.0358900000000002</v>
      </c>
      <c r="G79" s="4"/>
      <c r="H79" s="4">
        <v>5.8227900000000004</v>
      </c>
      <c r="I79" s="4"/>
      <c r="J79" s="4">
        <v>5.1799600000000003</v>
      </c>
      <c r="K79" s="4"/>
      <c r="L79" s="4">
        <v>4.76105</v>
      </c>
      <c r="M79" s="4"/>
      <c r="N79" s="4">
        <v>4.1094099999999996</v>
      </c>
      <c r="O79" s="4"/>
      <c r="P79" s="3">
        <f>AVERAGE(D79,F79,H79,J79,L79,N79)</f>
        <v>5.1430000000000007</v>
      </c>
      <c r="R79" s="7"/>
      <c r="S79" s="7"/>
      <c r="T79" s="7"/>
    </row>
    <row r="80" spans="1:20" ht="15" customHeight="1" x14ac:dyDescent="0.3">
      <c r="A80" s="10"/>
      <c r="B80" s="11" t="s">
        <v>14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R80" s="7"/>
      <c r="S80" s="7"/>
      <c r="T80" s="7"/>
    </row>
    <row r="81" spans="1:20" ht="15" customHeight="1" x14ac:dyDescent="0.3">
      <c r="A81" s="10"/>
      <c r="B81" s="12" t="s">
        <v>0</v>
      </c>
      <c r="C81" s="12" t="s">
        <v>1</v>
      </c>
      <c r="D81" s="12"/>
      <c r="E81" s="12" t="s">
        <v>2</v>
      </c>
      <c r="F81" s="12"/>
      <c r="G81" s="12" t="s">
        <v>3</v>
      </c>
      <c r="H81" s="12"/>
      <c r="I81" s="12" t="s">
        <v>4</v>
      </c>
      <c r="J81" s="12"/>
      <c r="K81" s="12" t="s">
        <v>5</v>
      </c>
      <c r="L81" s="12"/>
      <c r="M81" s="12" t="s">
        <v>6</v>
      </c>
      <c r="N81" s="12"/>
      <c r="O81" s="12" t="s">
        <v>7</v>
      </c>
      <c r="P81" s="12"/>
      <c r="R81" s="7"/>
      <c r="S81" s="7"/>
      <c r="T81" s="7"/>
    </row>
    <row r="82" spans="1:20" ht="15" customHeight="1" x14ac:dyDescent="0.3">
      <c r="A82" s="10"/>
      <c r="B82" s="13"/>
      <c r="C82" s="2" t="s">
        <v>15</v>
      </c>
      <c r="D82" s="2" t="s">
        <v>16</v>
      </c>
      <c r="E82" s="2" t="s">
        <v>15</v>
      </c>
      <c r="F82" s="2" t="s">
        <v>16</v>
      </c>
      <c r="G82" s="2" t="s">
        <v>15</v>
      </c>
      <c r="H82" s="2" t="s">
        <v>16</v>
      </c>
      <c r="I82" s="2" t="s">
        <v>15</v>
      </c>
      <c r="J82" s="2" t="s">
        <v>16</v>
      </c>
      <c r="K82" s="2" t="s">
        <v>15</v>
      </c>
      <c r="L82" s="2" t="s">
        <v>16</v>
      </c>
      <c r="M82" s="2" t="s">
        <v>15</v>
      </c>
      <c r="N82" s="2" t="s">
        <v>16</v>
      </c>
      <c r="O82" s="2" t="s">
        <v>15</v>
      </c>
      <c r="P82" s="2" t="s">
        <v>16</v>
      </c>
      <c r="R82" s="7"/>
      <c r="S82" s="7"/>
      <c r="T82" s="7"/>
    </row>
    <row r="83" spans="1:20" ht="15" customHeight="1" x14ac:dyDescent="0.3">
      <c r="A83" s="10"/>
      <c r="B83" s="1" t="s">
        <v>8</v>
      </c>
      <c r="C83" s="3"/>
      <c r="D83" s="3">
        <v>4.2968700000000002</v>
      </c>
      <c r="E83" s="3"/>
      <c r="F83" s="3">
        <v>5.4696899999999999</v>
      </c>
      <c r="G83" s="3"/>
      <c r="H83" s="3">
        <v>5.2728200000000003</v>
      </c>
      <c r="I83" s="3"/>
      <c r="J83" s="3">
        <v>4.5333500000000004</v>
      </c>
      <c r="K83" s="3"/>
      <c r="L83" s="3">
        <v>4.0951500000000003</v>
      </c>
      <c r="M83" s="3"/>
      <c r="N83" s="3">
        <v>3.5975899999999998</v>
      </c>
      <c r="O83" s="3"/>
      <c r="P83" s="3">
        <f>AVERAGE(D83,F83,H83,J83,L83,N83)</f>
        <v>4.5442450000000001</v>
      </c>
      <c r="R83" s="7"/>
      <c r="S83" s="7"/>
      <c r="T83" s="7"/>
    </row>
    <row r="84" spans="1:20" ht="15" customHeight="1" x14ac:dyDescent="0.3">
      <c r="A84" s="10"/>
      <c r="B84" s="1" t="s">
        <v>10</v>
      </c>
      <c r="C84" s="3"/>
      <c r="D84" s="3">
        <v>4.4737999999999998</v>
      </c>
      <c r="E84" s="3"/>
      <c r="F84" s="3">
        <v>5.60236</v>
      </c>
      <c r="G84" s="3"/>
      <c r="H84" s="3">
        <v>5.5017800000000001</v>
      </c>
      <c r="I84" s="3"/>
      <c r="J84" s="3">
        <v>4.8213200000000001</v>
      </c>
      <c r="K84" s="3"/>
      <c r="L84" s="3">
        <v>4.4157700000000002</v>
      </c>
      <c r="M84" s="3"/>
      <c r="N84" s="3">
        <v>3.8286199999999999</v>
      </c>
      <c r="O84" s="3"/>
      <c r="P84" s="3">
        <f>AVERAGE(D84,F84,H84,J84,L84,N84)</f>
        <v>4.7739416666666665</v>
      </c>
      <c r="R84" s="7"/>
      <c r="S84" s="7"/>
      <c r="T84" s="7"/>
    </row>
    <row r="85" spans="1:20" ht="15" customHeight="1" x14ac:dyDescent="0.3">
      <c r="A85" s="10"/>
      <c r="B85" s="2" t="s">
        <v>12</v>
      </c>
      <c r="C85" s="4"/>
      <c r="D85" s="4">
        <v>4.5378999999999996</v>
      </c>
      <c r="E85" s="4"/>
      <c r="F85" s="4">
        <v>5.7141900000000003</v>
      </c>
      <c r="G85" s="4"/>
      <c r="H85" s="4">
        <v>5.5835900000000001</v>
      </c>
      <c r="I85" s="4"/>
      <c r="J85" s="4">
        <v>4.79148</v>
      </c>
      <c r="K85" s="4"/>
      <c r="L85" s="4">
        <v>4.3329700000000004</v>
      </c>
      <c r="M85" s="4"/>
      <c r="N85" s="4">
        <v>3.7964500000000001</v>
      </c>
      <c r="O85" s="4"/>
      <c r="P85" s="4">
        <f>AVERAGE(D85,F85,H85,J85,L85,N85)</f>
        <v>4.7927633333333333</v>
      </c>
      <c r="R85" s="7"/>
      <c r="S85" s="7"/>
      <c r="T85" s="7"/>
    </row>
    <row r="86" spans="1:20" ht="15" customHeight="1" x14ac:dyDescent="0.3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R86" s="7"/>
      <c r="S86" s="7"/>
      <c r="T86" s="7"/>
    </row>
    <row r="87" spans="1:20" ht="15" customHeight="1" x14ac:dyDescent="0.3">
      <c r="R87" s="7"/>
      <c r="S87" s="7"/>
      <c r="T87" s="7"/>
    </row>
    <row r="88" spans="1:20" ht="15" customHeight="1" x14ac:dyDescent="0.3">
      <c r="A88" s="9" t="s">
        <v>30</v>
      </c>
      <c r="B88" s="11" t="s">
        <v>13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R88" s="7"/>
      <c r="S88" s="7"/>
      <c r="T88" s="7"/>
    </row>
    <row r="89" spans="1:20" ht="15" customHeight="1" x14ac:dyDescent="0.3">
      <c r="A89" s="10"/>
      <c r="B89" s="12" t="s">
        <v>0</v>
      </c>
      <c r="C89" s="12" t="s">
        <v>1</v>
      </c>
      <c r="D89" s="12"/>
      <c r="E89" s="12" t="s">
        <v>2</v>
      </c>
      <c r="F89" s="12"/>
      <c r="G89" s="12" t="s">
        <v>3</v>
      </c>
      <c r="H89" s="12"/>
      <c r="I89" s="12" t="s">
        <v>4</v>
      </c>
      <c r="J89" s="12"/>
      <c r="K89" s="12" t="s">
        <v>5</v>
      </c>
      <c r="L89" s="12"/>
      <c r="M89" s="12" t="s">
        <v>6</v>
      </c>
      <c r="N89" s="12"/>
      <c r="O89" s="12" t="s">
        <v>7</v>
      </c>
      <c r="P89" s="12"/>
      <c r="R89" s="7"/>
      <c r="S89" s="7"/>
      <c r="T89" s="7"/>
    </row>
    <row r="90" spans="1:20" ht="15" customHeight="1" x14ac:dyDescent="0.3">
      <c r="A90" s="10"/>
      <c r="B90" s="13"/>
      <c r="C90" s="2" t="s">
        <v>15</v>
      </c>
      <c r="D90" s="2" t="s">
        <v>16</v>
      </c>
      <c r="E90" s="2" t="s">
        <v>15</v>
      </c>
      <c r="F90" s="2" t="s">
        <v>16</v>
      </c>
      <c r="G90" s="2" t="s">
        <v>15</v>
      </c>
      <c r="H90" s="2" t="s">
        <v>16</v>
      </c>
      <c r="I90" s="2" t="s">
        <v>15</v>
      </c>
      <c r="J90" s="2" t="s">
        <v>16</v>
      </c>
      <c r="K90" s="2" t="s">
        <v>15</v>
      </c>
      <c r="L90" s="2" t="s">
        <v>16</v>
      </c>
      <c r="M90" s="2" t="s">
        <v>15</v>
      </c>
      <c r="N90" s="2" t="s">
        <v>16</v>
      </c>
      <c r="O90" s="2" t="s">
        <v>15</v>
      </c>
      <c r="P90" s="2" t="s">
        <v>16</v>
      </c>
      <c r="R90" s="7"/>
      <c r="S90" s="7"/>
      <c r="T90" s="7"/>
    </row>
    <row r="91" spans="1:20" ht="15" customHeight="1" x14ac:dyDescent="0.3">
      <c r="A91" s="10"/>
      <c r="B91" s="1" t="s">
        <v>31</v>
      </c>
      <c r="C91" s="3"/>
      <c r="D91" s="3">
        <v>4.8613999999999997</v>
      </c>
      <c r="E91" s="3"/>
      <c r="F91" s="3">
        <v>5.88361</v>
      </c>
      <c r="G91" s="3"/>
      <c r="H91" s="3">
        <v>5.5696399999999997</v>
      </c>
      <c r="I91" s="3"/>
      <c r="J91" s="3">
        <v>5.0985699999999996</v>
      </c>
      <c r="K91" s="3"/>
      <c r="L91" s="3">
        <v>4.5044000000000004</v>
      </c>
      <c r="M91" s="3"/>
      <c r="N91" s="3">
        <v>4.0416400000000001</v>
      </c>
      <c r="O91" s="3"/>
      <c r="P91" s="3">
        <f>AVERAGE(D91,F91,H91,J91,L91,N91)</f>
        <v>4.9932100000000004</v>
      </c>
      <c r="R91" s="7"/>
      <c r="S91" s="7"/>
      <c r="T91" s="7"/>
    </row>
    <row r="92" spans="1:20" ht="15" customHeight="1" x14ac:dyDescent="0.3">
      <c r="A92" s="10"/>
      <c r="B92" s="1" t="s">
        <v>32</v>
      </c>
      <c r="C92" s="3"/>
      <c r="D92" s="3">
        <v>5.0363800000000003</v>
      </c>
      <c r="E92" s="3"/>
      <c r="F92" s="3">
        <v>6.0898700000000003</v>
      </c>
      <c r="G92" s="3"/>
      <c r="H92" s="3">
        <v>5.7049899999999996</v>
      </c>
      <c r="I92" s="3"/>
      <c r="J92" s="3">
        <v>5.3215500000000002</v>
      </c>
      <c r="K92" s="3"/>
      <c r="L92" s="3">
        <v>4.7849199999999996</v>
      </c>
      <c r="M92" s="3"/>
      <c r="N92" s="3">
        <v>4.2842399999999996</v>
      </c>
      <c r="O92" s="3"/>
      <c r="P92" s="3">
        <f>AVERAGE(D92,F92,H92,J92,L92,N92)</f>
        <v>5.2036583333333342</v>
      </c>
      <c r="R92" s="7"/>
      <c r="S92" s="7"/>
      <c r="T92" s="7"/>
    </row>
    <row r="93" spans="1:20" ht="15" customHeight="1" x14ac:dyDescent="0.3">
      <c r="A93" s="10"/>
      <c r="B93" s="1" t="s">
        <v>33</v>
      </c>
      <c r="C93" s="3"/>
      <c r="D93" s="3">
        <v>5.1776600000000004</v>
      </c>
      <c r="E93" s="3"/>
      <c r="F93" s="3">
        <v>6.1842800000000002</v>
      </c>
      <c r="G93" s="3"/>
      <c r="H93" s="3">
        <v>5.8865100000000004</v>
      </c>
      <c r="I93" s="3"/>
      <c r="J93" s="3">
        <v>5.48346</v>
      </c>
      <c r="K93" s="3"/>
      <c r="L93" s="3">
        <v>4.9375</v>
      </c>
      <c r="M93" s="3"/>
      <c r="N93" s="3">
        <v>4.3942699999999997</v>
      </c>
      <c r="O93" s="3"/>
      <c r="P93" s="3">
        <f>AVERAGE(D93,F93,H93,J93,L93,N93)</f>
        <v>5.3439466666666675</v>
      </c>
      <c r="R93" s="7"/>
      <c r="S93" s="7"/>
      <c r="T93" s="7"/>
    </row>
    <row r="94" spans="1:20" ht="15" customHeight="1" x14ac:dyDescent="0.3">
      <c r="A94" s="10"/>
      <c r="B94" s="1" t="s">
        <v>34</v>
      </c>
      <c r="C94" s="3"/>
      <c r="D94" s="3">
        <v>5.2876300000000001</v>
      </c>
      <c r="E94" s="3"/>
      <c r="F94" s="3">
        <v>6.2506199999999996</v>
      </c>
      <c r="G94" s="3"/>
      <c r="H94" s="3">
        <v>5.9457700000000004</v>
      </c>
      <c r="I94" s="3"/>
      <c r="J94" s="3">
        <v>5.5481100000000003</v>
      </c>
      <c r="K94" s="3"/>
      <c r="L94" s="3">
        <v>5.0165199999999999</v>
      </c>
      <c r="M94" s="3"/>
      <c r="N94" s="3">
        <v>4.5465</v>
      </c>
      <c r="O94" s="3"/>
      <c r="P94" s="3">
        <f>AVERAGE(D94,F94,H94,J94,L94,N94)</f>
        <v>5.4325250000000009</v>
      </c>
      <c r="R94" s="7"/>
      <c r="S94" s="7"/>
      <c r="T94" s="7"/>
    </row>
    <row r="95" spans="1:20" ht="15" customHeight="1" x14ac:dyDescent="0.3">
      <c r="A95" s="10"/>
      <c r="B95" s="2" t="s">
        <v>35</v>
      </c>
      <c r="C95" s="4"/>
      <c r="D95" s="4">
        <v>5.2888599999999997</v>
      </c>
      <c r="E95" s="4"/>
      <c r="F95" s="4">
        <v>6.2779600000000002</v>
      </c>
      <c r="G95" s="4"/>
      <c r="H95" s="4">
        <v>6.0451699999999997</v>
      </c>
      <c r="I95" s="4"/>
      <c r="J95" s="4">
        <v>5.5814599999999999</v>
      </c>
      <c r="K95" s="4"/>
      <c r="L95" s="4">
        <v>5.0148900000000003</v>
      </c>
      <c r="M95" s="4"/>
      <c r="N95" s="4">
        <v>4.53064</v>
      </c>
      <c r="O95" s="4"/>
      <c r="P95" s="4">
        <f>AVERAGE(D95,F95,H95,J95,L95,N95)</f>
        <v>5.4564966666666663</v>
      </c>
      <c r="R95" s="7"/>
      <c r="S95" s="7"/>
      <c r="T95" s="7"/>
    </row>
    <row r="96" spans="1:20" ht="15" customHeight="1" x14ac:dyDescent="0.3">
      <c r="A96" s="10"/>
      <c r="B96" s="11" t="s">
        <v>14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R96" s="7"/>
      <c r="S96" s="7"/>
      <c r="T96" s="7"/>
    </row>
    <row r="97" spans="1:20" ht="15" customHeight="1" x14ac:dyDescent="0.3">
      <c r="A97" s="10"/>
      <c r="B97" s="12" t="s">
        <v>0</v>
      </c>
      <c r="C97" s="12" t="s">
        <v>1</v>
      </c>
      <c r="D97" s="12"/>
      <c r="E97" s="12" t="s">
        <v>2</v>
      </c>
      <c r="F97" s="12"/>
      <c r="G97" s="12" t="s">
        <v>3</v>
      </c>
      <c r="H97" s="12"/>
      <c r="I97" s="12" t="s">
        <v>4</v>
      </c>
      <c r="J97" s="12"/>
      <c r="K97" s="12" t="s">
        <v>5</v>
      </c>
      <c r="L97" s="12"/>
      <c r="M97" s="12" t="s">
        <v>6</v>
      </c>
      <c r="N97" s="12"/>
      <c r="O97" s="12" t="s">
        <v>7</v>
      </c>
      <c r="P97" s="12"/>
      <c r="R97" s="7"/>
      <c r="S97" s="7"/>
      <c r="T97" s="7"/>
    </row>
    <row r="98" spans="1:20" ht="15" customHeight="1" x14ac:dyDescent="0.3">
      <c r="A98" s="10"/>
      <c r="B98" s="13"/>
      <c r="C98" s="2" t="s">
        <v>15</v>
      </c>
      <c r="D98" s="2" t="s">
        <v>16</v>
      </c>
      <c r="E98" s="2" t="s">
        <v>15</v>
      </c>
      <c r="F98" s="2" t="s">
        <v>16</v>
      </c>
      <c r="G98" s="2" t="s">
        <v>15</v>
      </c>
      <c r="H98" s="2" t="s">
        <v>16</v>
      </c>
      <c r="I98" s="2" t="s">
        <v>15</v>
      </c>
      <c r="J98" s="2" t="s">
        <v>16</v>
      </c>
      <c r="K98" s="2" t="s">
        <v>15</v>
      </c>
      <c r="L98" s="2" t="s">
        <v>16</v>
      </c>
      <c r="M98" s="2" t="s">
        <v>15</v>
      </c>
      <c r="N98" s="2" t="s">
        <v>16</v>
      </c>
      <c r="O98" s="2" t="s">
        <v>15</v>
      </c>
      <c r="P98" s="2" t="s">
        <v>16</v>
      </c>
      <c r="R98" s="7"/>
      <c r="S98" s="7"/>
      <c r="T98" s="7"/>
    </row>
    <row r="99" spans="1:20" ht="15" customHeight="1" x14ac:dyDescent="0.3">
      <c r="A99" s="10"/>
      <c r="B99" s="1" t="s">
        <v>31</v>
      </c>
      <c r="C99" s="3"/>
      <c r="D99" s="3">
        <v>4.39011</v>
      </c>
      <c r="E99" s="3"/>
      <c r="F99" s="3">
        <v>5.6082400000000003</v>
      </c>
      <c r="G99" s="3"/>
      <c r="H99" s="3">
        <v>5.3261500000000002</v>
      </c>
      <c r="I99" s="3"/>
      <c r="J99" s="3">
        <v>4.6698899999999997</v>
      </c>
      <c r="K99" s="3"/>
      <c r="L99" s="3">
        <v>4.1432399999999996</v>
      </c>
      <c r="M99" s="3"/>
      <c r="N99" s="3">
        <v>3.7595499999999999</v>
      </c>
      <c r="O99" s="3"/>
      <c r="P99" s="3">
        <f>AVERAGE(D99,F99,H99,J99,L99,N99)</f>
        <v>4.6495299999999995</v>
      </c>
      <c r="R99" s="7"/>
      <c r="S99" s="7"/>
      <c r="T99" s="7"/>
    </row>
    <row r="100" spans="1:20" ht="15" customHeight="1" x14ac:dyDescent="0.3">
      <c r="A100" s="10"/>
      <c r="B100" s="1" t="s">
        <v>32</v>
      </c>
      <c r="C100" s="3"/>
      <c r="D100" s="3">
        <v>4.5535100000000002</v>
      </c>
      <c r="E100" s="3"/>
      <c r="F100" s="3">
        <v>5.7491000000000003</v>
      </c>
      <c r="G100" s="3"/>
      <c r="H100" s="3">
        <v>5.4894600000000002</v>
      </c>
      <c r="I100" s="3"/>
      <c r="J100" s="3">
        <v>4.9547800000000004</v>
      </c>
      <c r="K100" s="3"/>
      <c r="L100" s="3">
        <v>4.3115500000000004</v>
      </c>
      <c r="M100" s="3"/>
      <c r="N100" s="3">
        <v>4.0073100000000004</v>
      </c>
      <c r="O100" s="3"/>
      <c r="P100" s="3">
        <f>AVERAGE(D100,F100,H100,J100,L100,N100)</f>
        <v>4.8442850000000002</v>
      </c>
      <c r="R100" s="7"/>
      <c r="S100" s="7"/>
      <c r="T100" s="7"/>
    </row>
    <row r="101" spans="1:20" ht="15" customHeight="1" x14ac:dyDescent="0.3">
      <c r="A101" s="10"/>
      <c r="B101" s="1" t="s">
        <v>33</v>
      </c>
      <c r="C101" s="3"/>
      <c r="D101" s="3">
        <v>4.7401799999999996</v>
      </c>
      <c r="E101" s="3"/>
      <c r="F101" s="3">
        <v>5.87758</v>
      </c>
      <c r="G101" s="3"/>
      <c r="H101" s="3">
        <v>5.6888500000000004</v>
      </c>
      <c r="I101" s="3"/>
      <c r="J101" s="3">
        <v>5.1455900000000003</v>
      </c>
      <c r="K101" s="3"/>
      <c r="L101" s="3">
        <v>4.44956</v>
      </c>
      <c r="M101" s="3"/>
      <c r="N101" s="3">
        <v>4.04033</v>
      </c>
      <c r="O101" s="3"/>
      <c r="P101" s="3">
        <f>AVERAGE(D101,F101,H101,J101,L101,N101)</f>
        <v>4.9903483333333325</v>
      </c>
      <c r="R101" s="7"/>
      <c r="S101" s="7"/>
      <c r="T101" s="7"/>
    </row>
    <row r="102" spans="1:20" ht="15" customHeight="1" x14ac:dyDescent="0.3">
      <c r="A102" s="10"/>
      <c r="B102" s="1" t="s">
        <v>34</v>
      </c>
      <c r="C102" s="3"/>
      <c r="D102" s="3">
        <v>4.8115199999999998</v>
      </c>
      <c r="E102" s="3"/>
      <c r="F102" s="3">
        <v>5.9385199999999996</v>
      </c>
      <c r="G102" s="3"/>
      <c r="H102" s="3">
        <v>5.6940099999999996</v>
      </c>
      <c r="I102" s="3"/>
      <c r="J102" s="3">
        <v>5.04535</v>
      </c>
      <c r="K102" s="3"/>
      <c r="L102" s="3">
        <v>4.57951</v>
      </c>
      <c r="M102" s="3"/>
      <c r="N102" s="3">
        <v>4.1412100000000001</v>
      </c>
      <c r="O102" s="3"/>
      <c r="P102" s="3">
        <f>AVERAGE(D102,F102,H102,J102,L102,N102)</f>
        <v>5.0350199999999994</v>
      </c>
      <c r="R102" s="7"/>
      <c r="S102" s="7"/>
      <c r="T102" s="7"/>
    </row>
    <row r="103" spans="1:20" ht="15" customHeight="1" x14ac:dyDescent="0.3">
      <c r="A103" s="10"/>
      <c r="B103" s="2" t="s">
        <v>35</v>
      </c>
      <c r="C103" s="4"/>
      <c r="D103" s="4">
        <v>4.7477600000000004</v>
      </c>
      <c r="E103" s="4"/>
      <c r="F103" s="4">
        <v>6.0426799999999998</v>
      </c>
      <c r="G103" s="4"/>
      <c r="H103" s="4">
        <v>5.7625099999999998</v>
      </c>
      <c r="I103" s="4"/>
      <c r="J103" s="4">
        <v>5.2044899999999998</v>
      </c>
      <c r="K103" s="4"/>
      <c r="L103" s="4">
        <v>4.6174200000000001</v>
      </c>
      <c r="M103" s="4"/>
      <c r="N103" s="4">
        <v>4.1296299999999997</v>
      </c>
      <c r="O103" s="4"/>
      <c r="P103" s="4">
        <f>AVERAGE(D103,F103,H103,J103,L103,N103)</f>
        <v>5.0840816666666662</v>
      </c>
      <c r="R103" s="7"/>
      <c r="S103" s="7"/>
      <c r="T103" s="7"/>
    </row>
    <row r="104" spans="1:20" ht="15" customHeight="1" x14ac:dyDescent="0.3">
      <c r="R104" s="7"/>
      <c r="S104" s="7"/>
      <c r="T104" s="7"/>
    </row>
    <row r="105" spans="1:20" ht="15" customHeight="1" x14ac:dyDescent="0.3">
      <c r="R105" s="7"/>
      <c r="S105" s="7"/>
      <c r="T105" s="7"/>
    </row>
    <row r="106" spans="1:20" ht="15" customHeight="1" x14ac:dyDescent="0.3">
      <c r="A106" s="9" t="s">
        <v>50</v>
      </c>
      <c r="B106" s="11" t="s">
        <v>13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R106" s="7"/>
      <c r="S106" s="7"/>
      <c r="T106" s="7"/>
    </row>
    <row r="107" spans="1:20" ht="15" customHeight="1" x14ac:dyDescent="0.3">
      <c r="A107" s="10"/>
      <c r="B107" s="12" t="s">
        <v>0</v>
      </c>
      <c r="C107" s="12" t="s">
        <v>1</v>
      </c>
      <c r="D107" s="12"/>
      <c r="E107" s="12" t="s">
        <v>2</v>
      </c>
      <c r="F107" s="12"/>
      <c r="G107" s="12" t="s">
        <v>3</v>
      </c>
      <c r="H107" s="12"/>
      <c r="I107" s="12" t="s">
        <v>4</v>
      </c>
      <c r="J107" s="12"/>
      <c r="K107" s="12" t="s">
        <v>5</v>
      </c>
      <c r="L107" s="12"/>
      <c r="M107" s="12" t="s">
        <v>6</v>
      </c>
      <c r="N107" s="12"/>
      <c r="O107" s="12" t="s">
        <v>7</v>
      </c>
      <c r="P107" s="12"/>
      <c r="R107" s="7"/>
      <c r="S107" s="7"/>
      <c r="T107" s="7"/>
    </row>
    <row r="108" spans="1:20" ht="15" customHeight="1" x14ac:dyDescent="0.3">
      <c r="A108" s="10"/>
      <c r="B108" s="13"/>
      <c r="C108" s="2" t="s">
        <v>15</v>
      </c>
      <c r="D108" s="2" t="s">
        <v>16</v>
      </c>
      <c r="E108" s="2" t="s">
        <v>15</v>
      </c>
      <c r="F108" s="2" t="s">
        <v>16</v>
      </c>
      <c r="G108" s="2" t="s">
        <v>15</v>
      </c>
      <c r="H108" s="2" t="s">
        <v>16</v>
      </c>
      <c r="I108" s="2" t="s">
        <v>15</v>
      </c>
      <c r="J108" s="2" t="s">
        <v>16</v>
      </c>
      <c r="K108" s="2" t="s">
        <v>15</v>
      </c>
      <c r="L108" s="2" t="s">
        <v>16</v>
      </c>
      <c r="M108" s="2" t="s">
        <v>15</v>
      </c>
      <c r="N108" s="2" t="s">
        <v>16</v>
      </c>
      <c r="O108" s="2" t="s">
        <v>15</v>
      </c>
      <c r="P108" s="2" t="s">
        <v>16</v>
      </c>
      <c r="R108" s="7"/>
      <c r="S108" s="7"/>
      <c r="T108" s="7"/>
    </row>
    <row r="109" spans="1:20" ht="15" customHeight="1" x14ac:dyDescent="0.3">
      <c r="A109" s="10"/>
      <c r="B109" s="1" t="s">
        <v>8</v>
      </c>
      <c r="C109" s="3"/>
      <c r="D109" s="3">
        <v>4.8350999999999997</v>
      </c>
      <c r="E109" s="3"/>
      <c r="F109" s="3">
        <v>5.8418599999999996</v>
      </c>
      <c r="G109" s="3"/>
      <c r="H109" s="3">
        <v>5.3804100000000004</v>
      </c>
      <c r="I109" s="3"/>
      <c r="J109" s="3">
        <v>5.1307099999999997</v>
      </c>
      <c r="K109" s="3"/>
      <c r="L109" s="3">
        <v>4.2869599999999997</v>
      </c>
      <c r="M109" s="3"/>
      <c r="N109" s="3">
        <v>3.9249200000000002</v>
      </c>
      <c r="O109" s="3"/>
      <c r="P109" s="3">
        <f>AVERAGE(D109,F109,H109,J109,L109,N109)</f>
        <v>4.8999933333333336</v>
      </c>
      <c r="R109" s="7"/>
      <c r="S109" s="7"/>
      <c r="T109" s="7"/>
    </row>
    <row r="110" spans="1:20" ht="15" customHeight="1" x14ac:dyDescent="0.3">
      <c r="A110" s="10"/>
      <c r="B110" s="1" t="s">
        <v>9</v>
      </c>
      <c r="C110" s="3"/>
      <c r="D110" s="3">
        <v>5.0928699999999996</v>
      </c>
      <c r="E110" s="3"/>
      <c r="F110" s="3">
        <v>5.9963899999999999</v>
      </c>
      <c r="G110" s="3"/>
      <c r="H110" s="3">
        <v>5.7409499999999998</v>
      </c>
      <c r="I110" s="3"/>
      <c r="J110" s="3">
        <v>5.3913000000000002</v>
      </c>
      <c r="K110" s="3"/>
      <c r="L110" s="3">
        <v>4.4194800000000001</v>
      </c>
      <c r="M110" s="3"/>
      <c r="N110" s="3">
        <v>4.1529199999999999</v>
      </c>
      <c r="O110" s="3"/>
      <c r="P110" s="3">
        <f>AVERAGE(D110,F110,H110,J110,L110,N110)</f>
        <v>5.132318333333334</v>
      </c>
      <c r="R110" s="7"/>
      <c r="S110" s="7"/>
      <c r="T110" s="7"/>
    </row>
    <row r="111" spans="1:20" ht="15" customHeight="1" x14ac:dyDescent="0.3">
      <c r="A111" s="10"/>
      <c r="B111" s="1" t="s">
        <v>10</v>
      </c>
      <c r="C111" s="3"/>
      <c r="D111" s="3">
        <v>5.3201000000000001</v>
      </c>
      <c r="E111" s="3"/>
      <c r="F111" s="3">
        <v>6.1637899999999997</v>
      </c>
      <c r="G111" s="3"/>
      <c r="H111" s="3">
        <v>5.9080199999999996</v>
      </c>
      <c r="I111" s="3"/>
      <c r="J111" s="3">
        <v>5.5360100000000001</v>
      </c>
      <c r="K111" s="3"/>
      <c r="L111" s="3">
        <v>4.71347</v>
      </c>
      <c r="M111" s="3"/>
      <c r="N111" s="3">
        <v>4.3147200000000003</v>
      </c>
      <c r="O111" s="3"/>
      <c r="P111" s="3">
        <f>AVERAGE(D111,F111,H111,J111,L111,N111)</f>
        <v>5.3260183333333337</v>
      </c>
      <c r="R111" s="7"/>
      <c r="S111" s="7"/>
      <c r="T111" s="7"/>
    </row>
    <row r="112" spans="1:20" ht="15" customHeight="1" x14ac:dyDescent="0.3">
      <c r="A112" s="10"/>
      <c r="B112" s="1" t="s">
        <v>11</v>
      </c>
      <c r="C112" s="3"/>
      <c r="D112" s="3">
        <v>5.36137</v>
      </c>
      <c r="E112" s="3"/>
      <c r="F112" s="3">
        <v>6.2123900000000001</v>
      </c>
      <c r="G112" s="3"/>
      <c r="H112" s="3">
        <v>6.0613599999999996</v>
      </c>
      <c r="I112" s="3"/>
      <c r="J112" s="3">
        <v>5.5939699999999997</v>
      </c>
      <c r="K112" s="3"/>
      <c r="L112" s="3">
        <v>4.8575299999999997</v>
      </c>
      <c r="M112" s="3"/>
      <c r="N112" s="3">
        <v>4.4312899999999997</v>
      </c>
      <c r="O112" s="3"/>
      <c r="P112" s="3">
        <f>AVERAGE(D112,F112,H112,J112,L112,N112)</f>
        <v>5.4196516666666668</v>
      </c>
      <c r="R112" s="7"/>
      <c r="S112" s="7"/>
      <c r="T112" s="7"/>
    </row>
    <row r="113" spans="1:20" ht="15" customHeight="1" x14ac:dyDescent="0.3">
      <c r="A113" s="10"/>
      <c r="B113" s="2" t="s">
        <v>12</v>
      </c>
      <c r="C113" s="4"/>
      <c r="D113" s="4">
        <v>5.4131900000000002</v>
      </c>
      <c r="E113" s="4"/>
      <c r="F113" s="4">
        <v>6.2545000000000002</v>
      </c>
      <c r="G113" s="4"/>
      <c r="H113" s="4">
        <v>6.0812799999999996</v>
      </c>
      <c r="I113" s="4"/>
      <c r="J113" s="4">
        <v>5.6418999999999997</v>
      </c>
      <c r="K113" s="4"/>
      <c r="L113" s="4">
        <v>4.8334400000000004</v>
      </c>
      <c r="M113" s="4"/>
      <c r="N113" s="4">
        <v>4.4951999999999996</v>
      </c>
      <c r="O113" s="4"/>
      <c r="P113" s="4">
        <f>AVERAGE(D113,F113,H113,J113,L113,N113)</f>
        <v>5.4532516666666666</v>
      </c>
      <c r="R113" s="7"/>
      <c r="S113" s="7"/>
      <c r="T113" s="7"/>
    </row>
    <row r="114" spans="1:20" ht="15" customHeight="1" x14ac:dyDescent="0.3">
      <c r="A114" s="10"/>
      <c r="B114" s="11" t="s">
        <v>14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R114" s="7"/>
      <c r="S114" s="7"/>
      <c r="T114" s="7"/>
    </row>
    <row r="115" spans="1:20" ht="15" customHeight="1" x14ac:dyDescent="0.3">
      <c r="A115" s="10"/>
      <c r="B115" s="12" t="s">
        <v>0</v>
      </c>
      <c r="C115" s="12" t="s">
        <v>1</v>
      </c>
      <c r="D115" s="12"/>
      <c r="E115" s="12" t="s">
        <v>2</v>
      </c>
      <c r="F115" s="12"/>
      <c r="G115" s="12" t="s">
        <v>3</v>
      </c>
      <c r="H115" s="12"/>
      <c r="I115" s="12" t="s">
        <v>4</v>
      </c>
      <c r="J115" s="12"/>
      <c r="K115" s="12" t="s">
        <v>5</v>
      </c>
      <c r="L115" s="12"/>
      <c r="M115" s="12" t="s">
        <v>6</v>
      </c>
      <c r="N115" s="12"/>
      <c r="O115" s="12" t="s">
        <v>7</v>
      </c>
      <c r="P115" s="12"/>
      <c r="R115" s="7"/>
      <c r="S115" s="7"/>
      <c r="T115" s="7"/>
    </row>
    <row r="116" spans="1:20" ht="15" customHeight="1" x14ac:dyDescent="0.3">
      <c r="A116" s="10"/>
      <c r="B116" s="13"/>
      <c r="C116" s="2" t="s">
        <v>15</v>
      </c>
      <c r="D116" s="2" t="s">
        <v>16</v>
      </c>
      <c r="E116" s="2" t="s">
        <v>15</v>
      </c>
      <c r="F116" s="2" t="s">
        <v>16</v>
      </c>
      <c r="G116" s="2" t="s">
        <v>15</v>
      </c>
      <c r="H116" s="2" t="s">
        <v>16</v>
      </c>
      <c r="I116" s="2" t="s">
        <v>15</v>
      </c>
      <c r="J116" s="2" t="s">
        <v>16</v>
      </c>
      <c r="K116" s="2" t="s">
        <v>15</v>
      </c>
      <c r="L116" s="2" t="s">
        <v>16</v>
      </c>
      <c r="M116" s="2" t="s">
        <v>15</v>
      </c>
      <c r="N116" s="2" t="s">
        <v>16</v>
      </c>
      <c r="O116" s="2" t="s">
        <v>15</v>
      </c>
      <c r="P116" s="2" t="s">
        <v>16</v>
      </c>
      <c r="R116" s="7"/>
      <c r="S116" s="7"/>
      <c r="T116" s="7"/>
    </row>
    <row r="117" spans="1:20" ht="15" customHeight="1" x14ac:dyDescent="0.3">
      <c r="A117" s="10"/>
      <c r="B117" s="1" t="s">
        <v>8</v>
      </c>
      <c r="C117" s="3"/>
      <c r="D117" s="3">
        <v>4.4249700000000001</v>
      </c>
      <c r="E117" s="3"/>
      <c r="F117" s="3">
        <v>5.5333399999999999</v>
      </c>
      <c r="G117" s="3"/>
      <c r="H117" s="3">
        <v>5.1902999999999997</v>
      </c>
      <c r="I117" s="3"/>
      <c r="J117" s="3">
        <v>4.8660300000000003</v>
      </c>
      <c r="K117" s="3"/>
      <c r="L117" s="3">
        <v>3.8866299999999998</v>
      </c>
      <c r="M117" s="3"/>
      <c r="N117" s="3">
        <v>3.6355400000000002</v>
      </c>
      <c r="O117" s="3"/>
      <c r="P117" s="3">
        <f>AVERAGE(D117,F117,H117,J117,L117,N117)</f>
        <v>4.5894683333333335</v>
      </c>
      <c r="R117" s="7"/>
      <c r="S117" s="7"/>
      <c r="T117" s="7"/>
    </row>
    <row r="118" spans="1:20" ht="15" customHeight="1" x14ac:dyDescent="0.3">
      <c r="A118" s="10"/>
      <c r="B118" s="1" t="s">
        <v>9</v>
      </c>
      <c r="C118" s="3"/>
      <c r="D118" s="3">
        <v>4.66181</v>
      </c>
      <c r="E118" s="3"/>
      <c r="F118" s="3">
        <v>5.6358699999999997</v>
      </c>
      <c r="G118" s="3"/>
      <c r="H118" s="3">
        <v>5.5303500000000003</v>
      </c>
      <c r="I118" s="3"/>
      <c r="J118" s="3">
        <v>4.9067100000000003</v>
      </c>
      <c r="K118" s="3"/>
      <c r="L118" s="3">
        <v>4.1264799999999999</v>
      </c>
      <c r="M118" s="3"/>
      <c r="N118" s="3">
        <v>3.8291499999999998</v>
      </c>
      <c r="O118" s="3"/>
      <c r="P118" s="3">
        <f>AVERAGE(D118,F118,H118,J118,L118,N118)</f>
        <v>4.7817283333333336</v>
      </c>
      <c r="R118" s="7"/>
      <c r="S118" s="7"/>
      <c r="T118" s="7"/>
    </row>
    <row r="119" spans="1:20" ht="15" customHeight="1" x14ac:dyDescent="0.3">
      <c r="A119" s="10"/>
      <c r="B119" s="1" t="s">
        <v>10</v>
      </c>
      <c r="C119" s="3"/>
      <c r="D119" s="3">
        <v>4.8665000000000003</v>
      </c>
      <c r="E119" s="3"/>
      <c r="F119" s="3">
        <v>5.8399900000000002</v>
      </c>
      <c r="G119" s="3"/>
      <c r="H119" s="3">
        <v>5.65158</v>
      </c>
      <c r="I119" s="3"/>
      <c r="J119" s="3">
        <v>5.07212</v>
      </c>
      <c r="K119" s="3"/>
      <c r="L119" s="3">
        <v>4.3304900000000002</v>
      </c>
      <c r="M119" s="3"/>
      <c r="N119" s="3">
        <v>3.9704700000000002</v>
      </c>
      <c r="O119" s="3"/>
      <c r="P119" s="3">
        <f>AVERAGE(D119,F119,H119,J119,L119,N119)</f>
        <v>4.9551916666666669</v>
      </c>
      <c r="R119" s="7"/>
      <c r="S119" s="7"/>
      <c r="T119" s="7"/>
    </row>
    <row r="120" spans="1:20" ht="15" customHeight="1" x14ac:dyDescent="0.3">
      <c r="A120" s="10"/>
      <c r="B120" s="1" t="s">
        <v>11</v>
      </c>
      <c r="C120" s="3"/>
      <c r="D120" s="3">
        <v>4.9245000000000001</v>
      </c>
      <c r="E120" s="3"/>
      <c r="F120" s="3">
        <v>5.9912099999999997</v>
      </c>
      <c r="G120" s="3"/>
      <c r="H120" s="3">
        <v>5.8172800000000002</v>
      </c>
      <c r="I120" s="3"/>
      <c r="J120" s="3">
        <v>5.1707700000000001</v>
      </c>
      <c r="K120" s="3"/>
      <c r="L120" s="3">
        <v>4.4135600000000004</v>
      </c>
      <c r="M120" s="3"/>
      <c r="N120" s="3">
        <v>4.1507300000000003</v>
      </c>
      <c r="O120" s="3"/>
      <c r="P120" s="3">
        <f>AVERAGE(D120,F120,H120,J120,L120,N120)</f>
        <v>5.0780083333333339</v>
      </c>
      <c r="R120" s="7"/>
      <c r="S120" s="7"/>
      <c r="T120" s="7"/>
    </row>
    <row r="121" spans="1:20" ht="15" customHeight="1" x14ac:dyDescent="0.3">
      <c r="A121" s="10"/>
      <c r="B121" s="2" t="s">
        <v>12</v>
      </c>
      <c r="C121" s="4"/>
      <c r="D121" s="4">
        <v>4.8952299999999997</v>
      </c>
      <c r="E121" s="4"/>
      <c r="F121" s="4">
        <v>6.0022099999999998</v>
      </c>
      <c r="G121" s="4"/>
      <c r="H121" s="4">
        <v>5.8484299999999996</v>
      </c>
      <c r="I121" s="4"/>
      <c r="J121" s="4">
        <v>5.3302800000000001</v>
      </c>
      <c r="K121" s="4"/>
      <c r="L121" s="4">
        <v>4.4426100000000002</v>
      </c>
      <c r="M121" s="4"/>
      <c r="N121" s="4">
        <v>4.1807600000000003</v>
      </c>
      <c r="O121" s="4"/>
      <c r="P121" s="4">
        <f>AVERAGE(D121,F121,H121,J121,L121,N121)</f>
        <v>5.1165866666666666</v>
      </c>
      <c r="R121" s="7"/>
      <c r="S121" s="7"/>
      <c r="T121" s="7"/>
    </row>
    <row r="122" spans="1:20" ht="15" customHeight="1" x14ac:dyDescent="0.3">
      <c r="R122" s="7"/>
      <c r="S122" s="7"/>
      <c r="T122" s="7"/>
    </row>
    <row r="123" spans="1:20" ht="15" customHeight="1" x14ac:dyDescent="0.3">
      <c r="R123" s="7"/>
      <c r="S123" s="7"/>
      <c r="T123" s="7"/>
    </row>
    <row r="124" spans="1:20" ht="15" customHeight="1" x14ac:dyDescent="0.3">
      <c r="A124" s="9" t="s">
        <v>38</v>
      </c>
      <c r="B124" s="11" t="s">
        <v>13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R124" s="7"/>
      <c r="S124" s="7"/>
      <c r="T124" s="7"/>
    </row>
    <row r="125" spans="1:20" ht="15" customHeight="1" x14ac:dyDescent="0.3">
      <c r="A125" s="10"/>
      <c r="B125" s="12" t="s">
        <v>0</v>
      </c>
      <c r="C125" s="12" t="s">
        <v>1</v>
      </c>
      <c r="D125" s="12"/>
      <c r="E125" s="12" t="s">
        <v>2</v>
      </c>
      <c r="F125" s="12"/>
      <c r="G125" s="12" t="s">
        <v>3</v>
      </c>
      <c r="H125" s="12"/>
      <c r="I125" s="12" t="s">
        <v>4</v>
      </c>
      <c r="J125" s="12"/>
      <c r="K125" s="12" t="s">
        <v>5</v>
      </c>
      <c r="L125" s="12"/>
      <c r="M125" s="12" t="s">
        <v>6</v>
      </c>
      <c r="N125" s="12"/>
      <c r="O125" s="12" t="s">
        <v>7</v>
      </c>
      <c r="P125" s="12"/>
      <c r="R125" s="7"/>
      <c r="S125" s="7"/>
      <c r="T125" s="7"/>
    </row>
    <row r="126" spans="1:20" ht="15" customHeight="1" x14ac:dyDescent="0.3">
      <c r="A126" s="10"/>
      <c r="B126" s="13"/>
      <c r="C126" s="2" t="s">
        <v>15</v>
      </c>
      <c r="D126" s="2" t="s">
        <v>16</v>
      </c>
      <c r="E126" s="2" t="s">
        <v>15</v>
      </c>
      <c r="F126" s="2" t="s">
        <v>16</v>
      </c>
      <c r="G126" s="2" t="s">
        <v>15</v>
      </c>
      <c r="H126" s="2" t="s">
        <v>16</v>
      </c>
      <c r="I126" s="2" t="s">
        <v>15</v>
      </c>
      <c r="J126" s="2" t="s">
        <v>16</v>
      </c>
      <c r="K126" s="2" t="s">
        <v>15</v>
      </c>
      <c r="L126" s="2" t="s">
        <v>16</v>
      </c>
      <c r="M126" s="2" t="s">
        <v>15</v>
      </c>
      <c r="N126" s="2" t="s">
        <v>16</v>
      </c>
      <c r="O126" s="2" t="s">
        <v>15</v>
      </c>
      <c r="P126" s="2" t="s">
        <v>16</v>
      </c>
      <c r="R126" s="7"/>
      <c r="S126" s="7"/>
      <c r="T126" s="7"/>
    </row>
    <row r="127" spans="1:20" ht="15" customHeight="1" x14ac:dyDescent="0.3">
      <c r="A127" s="10"/>
      <c r="B127" s="1" t="s">
        <v>8</v>
      </c>
      <c r="C127" s="3"/>
      <c r="D127" s="3">
        <v>4.9519799999999998</v>
      </c>
      <c r="E127" s="3"/>
      <c r="F127" s="3">
        <v>5.9587399999999997</v>
      </c>
      <c r="G127" s="3"/>
      <c r="H127" s="3">
        <v>5.6865300000000003</v>
      </c>
      <c r="I127" s="3"/>
      <c r="J127" s="3">
        <v>5.1108099999999999</v>
      </c>
      <c r="K127" s="3"/>
      <c r="L127" s="3">
        <v>4.7624199999999997</v>
      </c>
      <c r="M127" s="3"/>
      <c r="N127" s="3">
        <v>4.1029</v>
      </c>
      <c r="O127" s="3"/>
      <c r="P127" s="3">
        <f>AVERAGE(D127,F127,H127,J127,L127,N127)</f>
        <v>5.0955633333333337</v>
      </c>
      <c r="R127" s="7"/>
      <c r="S127" s="7"/>
      <c r="T127" s="7"/>
    </row>
    <row r="128" spans="1:20" ht="15" customHeight="1" x14ac:dyDescent="0.3">
      <c r="A128" s="10"/>
      <c r="B128" s="1" t="s">
        <v>9</v>
      </c>
      <c r="C128" s="3"/>
      <c r="D128" s="3">
        <v>5.0779899999999998</v>
      </c>
      <c r="E128" s="3"/>
      <c r="F128" s="3">
        <v>6.0375899999999998</v>
      </c>
      <c r="G128" s="3"/>
      <c r="H128" s="3">
        <v>5.8101900000000004</v>
      </c>
      <c r="I128" s="3"/>
      <c r="J128" s="3">
        <v>5.2471800000000002</v>
      </c>
      <c r="K128" s="3"/>
      <c r="L128" s="3">
        <v>4.8608700000000002</v>
      </c>
      <c r="M128" s="3"/>
      <c r="N128" s="3">
        <v>4.2529199999999996</v>
      </c>
      <c r="O128" s="3"/>
      <c r="P128" s="3">
        <f>AVERAGE(D128,F128,H128,J128,L128,N128)</f>
        <v>5.2144566666666661</v>
      </c>
      <c r="R128" s="7"/>
      <c r="S128" s="7"/>
      <c r="T128" s="7"/>
    </row>
    <row r="129" spans="1:20" ht="15" customHeight="1" x14ac:dyDescent="0.3">
      <c r="A129" s="10"/>
      <c r="B129" s="1" t="s">
        <v>10</v>
      </c>
      <c r="C129" s="3"/>
      <c r="D129" s="3">
        <v>5.1763500000000002</v>
      </c>
      <c r="E129" s="3"/>
      <c r="F129" s="3">
        <v>6.1347899999999997</v>
      </c>
      <c r="G129" s="3"/>
      <c r="H129" s="3">
        <v>5.9769600000000001</v>
      </c>
      <c r="I129" s="3"/>
      <c r="J129" s="3">
        <v>5.3600399999999997</v>
      </c>
      <c r="K129" s="3"/>
      <c r="L129" s="3">
        <v>5.03362</v>
      </c>
      <c r="M129" s="3"/>
      <c r="N129" s="3">
        <v>4.3368500000000001</v>
      </c>
      <c r="O129" s="3"/>
      <c r="P129" s="3">
        <f>AVERAGE(D129,F129,H129,J129,L129,N129)</f>
        <v>5.3364349999999989</v>
      </c>
      <c r="R129" s="7"/>
      <c r="S129" s="7"/>
      <c r="T129" s="7"/>
    </row>
    <row r="130" spans="1:20" ht="15" customHeight="1" x14ac:dyDescent="0.3">
      <c r="A130" s="10"/>
      <c r="B130" s="1" t="s">
        <v>11</v>
      </c>
      <c r="C130" s="3"/>
      <c r="D130" s="3">
        <v>5.2169400000000001</v>
      </c>
      <c r="E130" s="3"/>
      <c r="F130" s="3">
        <v>6.1267699999999996</v>
      </c>
      <c r="G130" s="3"/>
      <c r="H130" s="3">
        <v>5.9864499999999996</v>
      </c>
      <c r="I130" s="3"/>
      <c r="J130" s="3">
        <v>5.33589</v>
      </c>
      <c r="K130" s="3"/>
      <c r="L130" s="3">
        <v>5.1133199999999999</v>
      </c>
      <c r="M130" s="3"/>
      <c r="N130" s="3">
        <v>4.3840300000000001</v>
      </c>
      <c r="O130" s="3"/>
      <c r="P130" s="3">
        <f>AVERAGE(D130,F130,H130,J130,L130,N130)</f>
        <v>5.3605666666666671</v>
      </c>
      <c r="R130" s="7"/>
      <c r="S130" s="7"/>
      <c r="T130" s="7"/>
    </row>
    <row r="131" spans="1:20" ht="15" customHeight="1" x14ac:dyDescent="0.3">
      <c r="A131" s="10"/>
      <c r="B131" s="2" t="s">
        <v>12</v>
      </c>
      <c r="C131" s="4"/>
      <c r="D131" s="4">
        <v>5.2286099999999998</v>
      </c>
      <c r="E131" s="4"/>
      <c r="F131" s="4">
        <v>6.20383</v>
      </c>
      <c r="G131" s="4"/>
      <c r="H131" s="4">
        <v>5.9978999999999996</v>
      </c>
      <c r="I131" s="4"/>
      <c r="J131" s="4">
        <v>5.39696</v>
      </c>
      <c r="K131" s="4"/>
      <c r="L131" s="4">
        <v>5.09293</v>
      </c>
      <c r="M131" s="4"/>
      <c r="N131" s="4">
        <v>4.4227499999999997</v>
      </c>
      <c r="O131" s="4"/>
      <c r="P131" s="4">
        <f>AVERAGE(D131,F131,H131,J131,L131,N131)</f>
        <v>5.3904966666666665</v>
      </c>
      <c r="R131" s="7"/>
      <c r="S131" s="7"/>
      <c r="T131" s="7"/>
    </row>
    <row r="132" spans="1:20" ht="15" customHeight="1" x14ac:dyDescent="0.3">
      <c r="A132" s="10"/>
      <c r="B132" s="11" t="s">
        <v>14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R132" s="7"/>
      <c r="S132" s="7"/>
      <c r="T132" s="7"/>
    </row>
    <row r="133" spans="1:20" ht="15" customHeight="1" x14ac:dyDescent="0.3">
      <c r="A133" s="10"/>
      <c r="B133" s="12" t="s">
        <v>0</v>
      </c>
      <c r="C133" s="12" t="s">
        <v>1</v>
      </c>
      <c r="D133" s="12"/>
      <c r="E133" s="12" t="s">
        <v>2</v>
      </c>
      <c r="F133" s="12"/>
      <c r="G133" s="12" t="s">
        <v>3</v>
      </c>
      <c r="H133" s="12"/>
      <c r="I133" s="12" t="s">
        <v>4</v>
      </c>
      <c r="J133" s="12"/>
      <c r="K133" s="12" t="s">
        <v>5</v>
      </c>
      <c r="L133" s="12"/>
      <c r="M133" s="12" t="s">
        <v>6</v>
      </c>
      <c r="N133" s="12"/>
      <c r="O133" s="12" t="s">
        <v>7</v>
      </c>
      <c r="P133" s="12"/>
      <c r="R133" s="7"/>
      <c r="S133" s="7"/>
      <c r="T133" s="7"/>
    </row>
    <row r="134" spans="1:20" ht="15" customHeight="1" x14ac:dyDescent="0.3">
      <c r="A134" s="10"/>
      <c r="B134" s="13"/>
      <c r="C134" s="2" t="s">
        <v>15</v>
      </c>
      <c r="D134" s="2" t="s">
        <v>16</v>
      </c>
      <c r="E134" s="2" t="s">
        <v>15</v>
      </c>
      <c r="F134" s="2" t="s">
        <v>16</v>
      </c>
      <c r="G134" s="2" t="s">
        <v>15</v>
      </c>
      <c r="H134" s="2" t="s">
        <v>16</v>
      </c>
      <c r="I134" s="2" t="s">
        <v>15</v>
      </c>
      <c r="J134" s="2" t="s">
        <v>16</v>
      </c>
      <c r="K134" s="2" t="s">
        <v>15</v>
      </c>
      <c r="L134" s="2" t="s">
        <v>16</v>
      </c>
      <c r="M134" s="2" t="s">
        <v>15</v>
      </c>
      <c r="N134" s="2" t="s">
        <v>16</v>
      </c>
      <c r="O134" s="2" t="s">
        <v>15</v>
      </c>
      <c r="P134" s="2" t="s">
        <v>16</v>
      </c>
      <c r="R134" s="7"/>
      <c r="S134" s="7"/>
      <c r="T134" s="7"/>
    </row>
    <row r="135" spans="1:20" ht="15" customHeight="1" x14ac:dyDescent="0.3">
      <c r="A135" s="10"/>
      <c r="B135" s="1" t="s">
        <v>8</v>
      </c>
      <c r="C135" s="3"/>
      <c r="D135" s="3">
        <v>4.4972899999999996</v>
      </c>
      <c r="E135" s="3"/>
      <c r="F135" s="3">
        <v>5.7499900000000004</v>
      </c>
      <c r="G135" s="3"/>
      <c r="H135" s="3">
        <v>5.4779799999999996</v>
      </c>
      <c r="I135" s="3"/>
      <c r="J135" s="3">
        <v>4.7991099999999998</v>
      </c>
      <c r="K135" s="3"/>
      <c r="L135" s="3">
        <v>4.3675600000000001</v>
      </c>
      <c r="M135" s="3"/>
      <c r="N135" s="3">
        <v>3.8624499999999999</v>
      </c>
      <c r="O135" s="3"/>
      <c r="P135" s="3">
        <f>AVERAGE(D135,F135,H135,J135,L135,N135)</f>
        <v>4.792396666666666</v>
      </c>
      <c r="R135" s="7"/>
      <c r="S135" s="7"/>
      <c r="T135" s="7"/>
    </row>
    <row r="136" spans="1:20" ht="15" customHeight="1" x14ac:dyDescent="0.3">
      <c r="A136" s="10"/>
      <c r="B136" s="1" t="s">
        <v>9</v>
      </c>
      <c r="C136" s="3"/>
      <c r="D136" s="3">
        <v>4.53803</v>
      </c>
      <c r="E136" s="3"/>
      <c r="F136" s="3">
        <v>5.7977699999999999</v>
      </c>
      <c r="G136" s="3"/>
      <c r="H136" s="3">
        <v>5.5980499999999997</v>
      </c>
      <c r="I136" s="3"/>
      <c r="J136" s="3">
        <v>4.8517099999999997</v>
      </c>
      <c r="K136" s="3"/>
      <c r="L136" s="3">
        <v>4.5068400000000004</v>
      </c>
      <c r="M136" s="3"/>
      <c r="N136" s="3">
        <v>3.93241</v>
      </c>
      <c r="O136" s="3"/>
      <c r="P136" s="3">
        <f>AVERAGE(D136,F136,H136,J136,L136,N136)</f>
        <v>4.8708016666666669</v>
      </c>
      <c r="R136" s="7"/>
      <c r="S136" s="7"/>
      <c r="T136" s="7"/>
    </row>
    <row r="137" spans="1:20" ht="15" customHeight="1" x14ac:dyDescent="0.3">
      <c r="A137" s="10"/>
      <c r="B137" s="1" t="s">
        <v>10</v>
      </c>
      <c r="C137" s="3"/>
      <c r="D137" s="3">
        <v>4.7687499999999998</v>
      </c>
      <c r="E137" s="3"/>
      <c r="F137" s="3">
        <v>5.87601</v>
      </c>
      <c r="G137" s="3"/>
      <c r="H137" s="3">
        <v>5.6713199999999997</v>
      </c>
      <c r="I137" s="3"/>
      <c r="J137" s="3">
        <v>4.9405200000000002</v>
      </c>
      <c r="K137" s="3"/>
      <c r="L137" s="3">
        <v>4.6174600000000003</v>
      </c>
      <c r="M137" s="3"/>
      <c r="N137" s="3">
        <v>4.0107900000000001</v>
      </c>
      <c r="O137" s="3"/>
      <c r="P137" s="3">
        <f>AVERAGE(D137,F137,H137,J137,L137,N137)</f>
        <v>4.9808083333333331</v>
      </c>
      <c r="R137" s="7"/>
      <c r="S137" s="7"/>
      <c r="T137" s="7"/>
    </row>
    <row r="138" spans="1:20" ht="15" customHeight="1" x14ac:dyDescent="0.3">
      <c r="A138" s="10"/>
      <c r="B138" s="1" t="s">
        <v>11</v>
      </c>
      <c r="C138" s="3"/>
      <c r="D138" s="3">
        <v>4.6977500000000001</v>
      </c>
      <c r="E138" s="3"/>
      <c r="F138" s="3">
        <v>6.0045099999999998</v>
      </c>
      <c r="G138" s="3"/>
      <c r="H138" s="3">
        <v>5.6419800000000002</v>
      </c>
      <c r="I138" s="3"/>
      <c r="J138" s="3">
        <v>5.0177899999999998</v>
      </c>
      <c r="K138" s="3"/>
      <c r="L138" s="3">
        <v>4.5989500000000003</v>
      </c>
      <c r="M138" s="3"/>
      <c r="N138" s="3">
        <v>3.9584000000000001</v>
      </c>
      <c r="O138" s="3"/>
      <c r="P138" s="3">
        <f>AVERAGE(D138,F138,H138,J138,L138,N138)</f>
        <v>4.9865633333333337</v>
      </c>
      <c r="R138" s="7"/>
      <c r="S138" s="7"/>
      <c r="T138" s="7"/>
    </row>
    <row r="139" spans="1:20" ht="15" customHeight="1" x14ac:dyDescent="0.3">
      <c r="A139" s="10"/>
      <c r="B139" s="2" t="s">
        <v>12</v>
      </c>
      <c r="C139" s="4"/>
      <c r="D139" s="4">
        <v>4.7397299999999998</v>
      </c>
      <c r="E139" s="4"/>
      <c r="F139" s="4">
        <v>5.8635700000000002</v>
      </c>
      <c r="G139" s="4"/>
      <c r="H139" s="4">
        <v>5.75807</v>
      </c>
      <c r="I139" s="4"/>
      <c r="J139" s="4">
        <v>4.9176399999999996</v>
      </c>
      <c r="K139" s="4"/>
      <c r="L139" s="4">
        <v>4.70146</v>
      </c>
      <c r="M139" s="4"/>
      <c r="N139" s="4">
        <v>4.1309100000000001</v>
      </c>
      <c r="O139" s="4"/>
      <c r="P139" s="4">
        <f>AVERAGE(D139,F139,H139,J139,L139,N139)</f>
        <v>5.0185633333333337</v>
      </c>
      <c r="R139" s="7"/>
      <c r="S139" s="7"/>
      <c r="T139" s="7"/>
    </row>
    <row r="142" spans="1:20" ht="15" customHeight="1" x14ac:dyDescent="0.3">
      <c r="A142" s="9" t="s">
        <v>47</v>
      </c>
      <c r="B142" s="11" t="s">
        <v>13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</row>
    <row r="143" spans="1:20" ht="15" customHeight="1" x14ac:dyDescent="0.3">
      <c r="A143" s="10"/>
      <c r="B143" s="12" t="s">
        <v>0</v>
      </c>
      <c r="C143" s="12" t="s">
        <v>1</v>
      </c>
      <c r="D143" s="12"/>
      <c r="E143" s="12" t="s">
        <v>2</v>
      </c>
      <c r="F143" s="12"/>
      <c r="G143" s="12" t="s">
        <v>3</v>
      </c>
      <c r="H143" s="12"/>
      <c r="I143" s="12" t="s">
        <v>4</v>
      </c>
      <c r="J143" s="12"/>
      <c r="K143" s="12" t="s">
        <v>5</v>
      </c>
      <c r="L143" s="12"/>
      <c r="M143" s="12" t="s">
        <v>6</v>
      </c>
      <c r="N143" s="12"/>
      <c r="O143" s="12" t="s">
        <v>7</v>
      </c>
      <c r="P143" s="12"/>
    </row>
    <row r="144" spans="1:20" ht="15" customHeight="1" x14ac:dyDescent="0.3">
      <c r="A144" s="10"/>
      <c r="B144" s="13"/>
      <c r="C144" s="2" t="s">
        <v>15</v>
      </c>
      <c r="D144" s="2" t="s">
        <v>16</v>
      </c>
      <c r="E144" s="2" t="s">
        <v>15</v>
      </c>
      <c r="F144" s="2" t="s">
        <v>16</v>
      </c>
      <c r="G144" s="2" t="s">
        <v>15</v>
      </c>
      <c r="H144" s="2" t="s">
        <v>16</v>
      </c>
      <c r="I144" s="2" t="s">
        <v>15</v>
      </c>
      <c r="J144" s="2" t="s">
        <v>16</v>
      </c>
      <c r="K144" s="2" t="s">
        <v>15</v>
      </c>
      <c r="L144" s="2" t="s">
        <v>16</v>
      </c>
      <c r="M144" s="2" t="s">
        <v>15</v>
      </c>
      <c r="N144" s="2" t="s">
        <v>16</v>
      </c>
      <c r="O144" s="2" t="s">
        <v>15</v>
      </c>
      <c r="P144" s="2" t="s">
        <v>16</v>
      </c>
    </row>
    <row r="145" spans="1:16" ht="15" customHeight="1" x14ac:dyDescent="0.3">
      <c r="A145" s="10"/>
      <c r="B145" s="1" t="s">
        <v>31</v>
      </c>
      <c r="C145" s="3"/>
      <c r="D145" s="3">
        <v>5.1425200000000002</v>
      </c>
      <c r="E145" s="3"/>
      <c r="F145" s="3">
        <v>6.1639099999999996</v>
      </c>
      <c r="G145" s="3"/>
      <c r="H145" s="3">
        <v>5.8667699999999998</v>
      </c>
      <c r="I145" s="3"/>
      <c r="J145" s="3">
        <v>5.2913699999999997</v>
      </c>
      <c r="K145" s="3"/>
      <c r="L145" s="3">
        <v>4.87432</v>
      </c>
      <c r="M145" s="3"/>
      <c r="N145" s="3">
        <v>4.2484099999999998</v>
      </c>
      <c r="O145" s="3"/>
      <c r="P145" s="3">
        <f>AVERAGE(D145,F145,H145,J145,L145,N145)</f>
        <v>5.2645499999999998</v>
      </c>
    </row>
    <row r="146" spans="1:16" ht="15" customHeight="1" x14ac:dyDescent="0.3">
      <c r="A146" s="10"/>
      <c r="B146" s="1" t="s">
        <v>32</v>
      </c>
      <c r="C146" s="3"/>
      <c r="D146" s="3">
        <v>5.2753899999999998</v>
      </c>
      <c r="E146" s="3"/>
      <c r="F146" s="3">
        <v>6.2600499999999997</v>
      </c>
      <c r="G146" s="3"/>
      <c r="H146" s="3">
        <v>6.0030799999999997</v>
      </c>
      <c r="I146" s="3"/>
      <c r="J146" s="3">
        <v>5.4375499999999999</v>
      </c>
      <c r="K146" s="3"/>
      <c r="L146" s="3">
        <v>5.0748699999999998</v>
      </c>
      <c r="M146" s="3"/>
      <c r="N146" s="3">
        <v>4.4670699999999997</v>
      </c>
      <c r="O146" s="3"/>
      <c r="P146" s="3">
        <f>AVERAGE(D146,F146,H146,J146,L146,N146)</f>
        <v>5.419668333333334</v>
      </c>
    </row>
    <row r="147" spans="1:16" ht="15" customHeight="1" x14ac:dyDescent="0.3">
      <c r="A147" s="10"/>
      <c r="B147" s="1" t="s">
        <v>33</v>
      </c>
      <c r="C147" s="3"/>
      <c r="D147" s="3">
        <v>5.4368299999999996</v>
      </c>
      <c r="E147" s="3"/>
      <c r="F147" s="3">
        <v>6.3815799999999996</v>
      </c>
      <c r="G147" s="3"/>
      <c r="H147" s="3">
        <v>6.1467700000000001</v>
      </c>
      <c r="I147" s="3"/>
      <c r="J147" s="3">
        <v>5.6098600000000003</v>
      </c>
      <c r="K147" s="3"/>
      <c r="L147" s="3">
        <v>5.2762399999999996</v>
      </c>
      <c r="M147" s="3"/>
      <c r="N147" s="3">
        <v>4.6169399999999996</v>
      </c>
      <c r="O147" s="3"/>
      <c r="P147" s="3">
        <f>AVERAGE(D147,F147,H147,J147,L147,N147)</f>
        <v>5.5780366666666668</v>
      </c>
    </row>
    <row r="148" spans="1:16" ht="15" customHeight="1" x14ac:dyDescent="0.3">
      <c r="A148" s="10"/>
      <c r="B148" s="1" t="s">
        <v>34</v>
      </c>
      <c r="C148" s="3"/>
      <c r="D148" s="3">
        <v>5.5129400000000004</v>
      </c>
      <c r="E148" s="3"/>
      <c r="F148" s="3">
        <v>6.4376899999999999</v>
      </c>
      <c r="G148" s="3"/>
      <c r="H148" s="3">
        <v>6.2129799999999999</v>
      </c>
      <c r="I148" s="3"/>
      <c r="J148" s="3">
        <v>5.65036</v>
      </c>
      <c r="K148" s="3"/>
      <c r="L148" s="3">
        <v>5.3873899999999999</v>
      </c>
      <c r="M148" s="3"/>
      <c r="N148" s="3">
        <v>4.6532299999999998</v>
      </c>
      <c r="O148" s="3"/>
      <c r="P148" s="3">
        <f>AVERAGE(D148,F148,H148,J148,L148,N148)</f>
        <v>5.6424316666666661</v>
      </c>
    </row>
    <row r="149" spans="1:16" ht="15" customHeight="1" x14ac:dyDescent="0.3">
      <c r="A149" s="10"/>
      <c r="B149" s="2" t="s">
        <v>35</v>
      </c>
      <c r="C149" s="4"/>
      <c r="D149" s="4">
        <v>5.5522299999999998</v>
      </c>
      <c r="E149" s="4"/>
      <c r="F149" s="4">
        <v>6.4609100000000002</v>
      </c>
      <c r="G149" s="4"/>
      <c r="H149" s="4">
        <v>6.2358000000000002</v>
      </c>
      <c r="I149" s="4"/>
      <c r="J149" s="4">
        <v>5.7166399999999999</v>
      </c>
      <c r="K149" s="4"/>
      <c r="L149" s="4">
        <v>5.4241799999999998</v>
      </c>
      <c r="M149" s="4"/>
      <c r="N149" s="4">
        <v>4.7166100000000002</v>
      </c>
      <c r="O149" s="4"/>
      <c r="P149" s="4">
        <f>AVERAGE(D149,F149,H149,J149,L149,N149)</f>
        <v>5.6843950000000012</v>
      </c>
    </row>
    <row r="150" spans="1:16" ht="15" customHeight="1" x14ac:dyDescent="0.3">
      <c r="A150" s="10"/>
      <c r="B150" s="11" t="s">
        <v>14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spans="1:16" ht="15" customHeight="1" x14ac:dyDescent="0.3">
      <c r="A151" s="10"/>
      <c r="B151" s="12" t="s">
        <v>0</v>
      </c>
      <c r="C151" s="12" t="s">
        <v>1</v>
      </c>
      <c r="D151" s="12"/>
      <c r="E151" s="12" t="s">
        <v>2</v>
      </c>
      <c r="F151" s="12"/>
      <c r="G151" s="12" t="s">
        <v>3</v>
      </c>
      <c r="H151" s="12"/>
      <c r="I151" s="12" t="s">
        <v>4</v>
      </c>
      <c r="J151" s="12"/>
      <c r="K151" s="12" t="s">
        <v>5</v>
      </c>
      <c r="L151" s="12"/>
      <c r="M151" s="12" t="s">
        <v>6</v>
      </c>
      <c r="N151" s="12"/>
      <c r="O151" s="12" t="s">
        <v>7</v>
      </c>
      <c r="P151" s="12"/>
    </row>
    <row r="152" spans="1:16" ht="15" customHeight="1" x14ac:dyDescent="0.3">
      <c r="A152" s="10"/>
      <c r="B152" s="13"/>
      <c r="C152" s="2" t="s">
        <v>15</v>
      </c>
      <c r="D152" s="2" t="s">
        <v>16</v>
      </c>
      <c r="E152" s="2" t="s">
        <v>15</v>
      </c>
      <c r="F152" s="2" t="s">
        <v>16</v>
      </c>
      <c r="G152" s="2" t="s">
        <v>15</v>
      </c>
      <c r="H152" s="2" t="s">
        <v>16</v>
      </c>
      <c r="I152" s="2" t="s">
        <v>15</v>
      </c>
      <c r="J152" s="2" t="s">
        <v>16</v>
      </c>
      <c r="K152" s="2" t="s">
        <v>15</v>
      </c>
      <c r="L152" s="2" t="s">
        <v>16</v>
      </c>
      <c r="M152" s="2" t="s">
        <v>15</v>
      </c>
      <c r="N152" s="2" t="s">
        <v>16</v>
      </c>
      <c r="O152" s="2" t="s">
        <v>15</v>
      </c>
      <c r="P152" s="2" t="s">
        <v>16</v>
      </c>
    </row>
    <row r="153" spans="1:16" ht="15" customHeight="1" x14ac:dyDescent="0.3">
      <c r="A153" s="10"/>
      <c r="B153" s="1" t="s">
        <v>31</v>
      </c>
      <c r="C153" s="3"/>
      <c r="D153" s="3">
        <v>4.6648800000000001</v>
      </c>
      <c r="E153" s="3"/>
      <c r="F153" s="3">
        <v>5.8207300000000002</v>
      </c>
      <c r="G153" s="3"/>
      <c r="H153" s="3">
        <v>5.5759699999999999</v>
      </c>
      <c r="I153" s="3"/>
      <c r="J153" s="3">
        <v>4.9920499999999999</v>
      </c>
      <c r="K153" s="3"/>
      <c r="L153" s="3">
        <v>4.4142200000000003</v>
      </c>
      <c r="M153" s="3"/>
      <c r="N153" s="3">
        <v>3.9114399999999998</v>
      </c>
      <c r="O153" s="3"/>
      <c r="P153" s="3">
        <f>AVERAGE(D153,F153,H153,J153,L153,N153)</f>
        <v>4.8965483333333326</v>
      </c>
    </row>
    <row r="154" spans="1:16" ht="15" customHeight="1" x14ac:dyDescent="0.3">
      <c r="A154" s="10"/>
      <c r="B154" s="1" t="s">
        <v>32</v>
      </c>
      <c r="C154" s="3"/>
      <c r="D154" s="3">
        <v>4.7643700000000004</v>
      </c>
      <c r="E154" s="3"/>
      <c r="F154" s="3">
        <v>6.0061499999999999</v>
      </c>
      <c r="G154" s="3"/>
      <c r="H154" s="3">
        <v>5.7176499999999999</v>
      </c>
      <c r="I154" s="3"/>
      <c r="J154" s="3">
        <v>5.09049</v>
      </c>
      <c r="K154" s="3"/>
      <c r="L154" s="3">
        <v>4.6910800000000004</v>
      </c>
      <c r="M154" s="3"/>
      <c r="N154" s="3">
        <v>4.1724699999999997</v>
      </c>
      <c r="O154" s="3"/>
      <c r="P154" s="3">
        <f>AVERAGE(D154,F154,H154,J154,L154,N154)</f>
        <v>5.0737016666666666</v>
      </c>
    </row>
    <row r="155" spans="1:16" ht="15" customHeight="1" x14ac:dyDescent="0.3">
      <c r="A155" s="10"/>
      <c r="B155" s="1" t="s">
        <v>33</v>
      </c>
      <c r="C155" s="3"/>
      <c r="D155" s="3">
        <v>4.9665900000000001</v>
      </c>
      <c r="E155" s="3"/>
      <c r="F155" s="3">
        <v>6.0786800000000003</v>
      </c>
      <c r="G155" s="3"/>
      <c r="H155" s="3">
        <v>5.9602599999999999</v>
      </c>
      <c r="I155" s="3"/>
      <c r="J155" s="3">
        <v>5.2721099999999996</v>
      </c>
      <c r="K155" s="3"/>
      <c r="L155" s="3">
        <v>4.7949000000000002</v>
      </c>
      <c r="M155" s="3"/>
      <c r="N155" s="3">
        <v>4.2164799999999998</v>
      </c>
      <c r="O155" s="3"/>
      <c r="P155" s="3">
        <f>AVERAGE(D155,F155,H155,J155,L155,N155)</f>
        <v>5.2148366666666659</v>
      </c>
    </row>
    <row r="156" spans="1:16" ht="15" customHeight="1" x14ac:dyDescent="0.3">
      <c r="A156" s="10"/>
      <c r="B156" s="1" t="s">
        <v>34</v>
      </c>
      <c r="C156" s="3"/>
      <c r="D156" s="3">
        <v>5.06792</v>
      </c>
      <c r="E156" s="3"/>
      <c r="F156" s="3">
        <v>6.1188399999999996</v>
      </c>
      <c r="G156" s="3"/>
      <c r="H156" s="3">
        <v>6.0356500000000004</v>
      </c>
      <c r="I156" s="3"/>
      <c r="J156" s="3">
        <v>5.2182199999999996</v>
      </c>
      <c r="K156" s="3"/>
      <c r="L156" s="3">
        <v>4.8553699999999997</v>
      </c>
      <c r="M156" s="3"/>
      <c r="N156" s="3">
        <v>4.3114299999999997</v>
      </c>
      <c r="O156" s="3"/>
      <c r="P156" s="3">
        <f>AVERAGE(D156,F156,H156,J156,L156,N156)</f>
        <v>5.2679049999999998</v>
      </c>
    </row>
    <row r="157" spans="1:16" ht="15" customHeight="1" x14ac:dyDescent="0.3">
      <c r="A157" s="10"/>
      <c r="B157" s="2" t="s">
        <v>35</v>
      </c>
      <c r="C157" s="4"/>
      <c r="D157" s="4">
        <v>4.9878799999999996</v>
      </c>
      <c r="E157" s="4"/>
      <c r="F157" s="4">
        <v>6.2057799999999999</v>
      </c>
      <c r="G157" s="4"/>
      <c r="H157" s="4">
        <v>5.9762000000000004</v>
      </c>
      <c r="I157" s="4"/>
      <c r="J157" s="4">
        <v>5.2882300000000004</v>
      </c>
      <c r="K157" s="4"/>
      <c r="L157" s="4">
        <v>4.8907600000000002</v>
      </c>
      <c r="M157" s="4"/>
      <c r="N157" s="4">
        <v>4.3394599999999999</v>
      </c>
      <c r="O157" s="4"/>
      <c r="P157" s="4">
        <f>AVERAGE(D157,F157,H157,J157,L157,N157)</f>
        <v>5.2813849999999993</v>
      </c>
    </row>
  </sheetData>
  <mergeCells count="172">
    <mergeCell ref="O133:P133"/>
    <mergeCell ref="B74:P74"/>
    <mergeCell ref="B75:B76"/>
    <mergeCell ref="C75:D75"/>
    <mergeCell ref="E75:F75"/>
    <mergeCell ref="M89:N89"/>
    <mergeCell ref="O89:P89"/>
    <mergeCell ref="K81:L81"/>
    <mergeCell ref="M81:N81"/>
    <mergeCell ref="O81:P81"/>
    <mergeCell ref="B81:B82"/>
    <mergeCell ref="C81:D81"/>
    <mergeCell ref="E81:F81"/>
    <mergeCell ref="G81:H81"/>
    <mergeCell ref="I81:J81"/>
    <mergeCell ref="B96:P96"/>
    <mergeCell ref="B97:B98"/>
    <mergeCell ref="M97:N97"/>
    <mergeCell ref="G97:H97"/>
    <mergeCell ref="I97:J97"/>
    <mergeCell ref="K97:L97"/>
    <mergeCell ref="C97:D97"/>
    <mergeCell ref="E97:F97"/>
    <mergeCell ref="B89:B90"/>
    <mergeCell ref="A74:A85"/>
    <mergeCell ref="A124:A139"/>
    <mergeCell ref="B124:P124"/>
    <mergeCell ref="B125:B126"/>
    <mergeCell ref="C125:D125"/>
    <mergeCell ref="E125:F125"/>
    <mergeCell ref="G125:H125"/>
    <mergeCell ref="I125:J125"/>
    <mergeCell ref="K125:L125"/>
    <mergeCell ref="M125:N125"/>
    <mergeCell ref="O125:P125"/>
    <mergeCell ref="B132:P132"/>
    <mergeCell ref="B133:B134"/>
    <mergeCell ref="C133:D133"/>
    <mergeCell ref="E133:F133"/>
    <mergeCell ref="G133:H133"/>
    <mergeCell ref="I133:J133"/>
    <mergeCell ref="K133:L133"/>
    <mergeCell ref="M133:N133"/>
    <mergeCell ref="I75:J75"/>
    <mergeCell ref="K75:L75"/>
    <mergeCell ref="M75:N75"/>
    <mergeCell ref="O75:P75"/>
    <mergeCell ref="B80:P80"/>
    <mergeCell ref="B29:B30"/>
    <mergeCell ref="C29:D29"/>
    <mergeCell ref="E29:F29"/>
    <mergeCell ref="C11:D11"/>
    <mergeCell ref="A106:A121"/>
    <mergeCell ref="B106:P106"/>
    <mergeCell ref="B107:B108"/>
    <mergeCell ref="C107:D107"/>
    <mergeCell ref="E107:F107"/>
    <mergeCell ref="G107:H107"/>
    <mergeCell ref="I107:J107"/>
    <mergeCell ref="K107:L107"/>
    <mergeCell ref="M107:N107"/>
    <mergeCell ref="O107:P107"/>
    <mergeCell ref="B114:P114"/>
    <mergeCell ref="B115:B116"/>
    <mergeCell ref="C115:D115"/>
    <mergeCell ref="K115:L115"/>
    <mergeCell ref="M115:N115"/>
    <mergeCell ref="O115:P115"/>
    <mergeCell ref="E115:F115"/>
    <mergeCell ref="G115:H115"/>
    <mergeCell ref="I115:J115"/>
    <mergeCell ref="K89:L89"/>
    <mergeCell ref="A56:A71"/>
    <mergeCell ref="B64:P64"/>
    <mergeCell ref="C57:D57"/>
    <mergeCell ref="E57:F57"/>
    <mergeCell ref="G57:H57"/>
    <mergeCell ref="I57:J57"/>
    <mergeCell ref="A88:A103"/>
    <mergeCell ref="B88:P88"/>
    <mergeCell ref="G29:H29"/>
    <mergeCell ref="I29:J29"/>
    <mergeCell ref="K29:L29"/>
    <mergeCell ref="M29:N29"/>
    <mergeCell ref="O29:P29"/>
    <mergeCell ref="A20:A35"/>
    <mergeCell ref="B20:P20"/>
    <mergeCell ref="B21:B22"/>
    <mergeCell ref="C21:D21"/>
    <mergeCell ref="E21:F21"/>
    <mergeCell ref="G21:H21"/>
    <mergeCell ref="I21:J21"/>
    <mergeCell ref="K21:L21"/>
    <mergeCell ref="M21:N21"/>
    <mergeCell ref="O21:P21"/>
    <mergeCell ref="B28:P28"/>
    <mergeCell ref="A2:A17"/>
    <mergeCell ref="B2:P2"/>
    <mergeCell ref="B3:B4"/>
    <mergeCell ref="C3:D3"/>
    <mergeCell ref="E3:F3"/>
    <mergeCell ref="G3:H3"/>
    <mergeCell ref="I3:J3"/>
    <mergeCell ref="K3:L3"/>
    <mergeCell ref="M3:N3"/>
    <mergeCell ref="O3:P3"/>
    <mergeCell ref="B10:P10"/>
    <mergeCell ref="B11:B12"/>
    <mergeCell ref="M11:N11"/>
    <mergeCell ref="O11:P11"/>
    <mergeCell ref="E11:F11"/>
    <mergeCell ref="G11:H11"/>
    <mergeCell ref="I11:J11"/>
    <mergeCell ref="K11:L11"/>
    <mergeCell ref="R2:T4"/>
    <mergeCell ref="A142:A157"/>
    <mergeCell ref="B142:P142"/>
    <mergeCell ref="B143:B144"/>
    <mergeCell ref="C143:D143"/>
    <mergeCell ref="E143:F143"/>
    <mergeCell ref="G143:H143"/>
    <mergeCell ref="I143:J143"/>
    <mergeCell ref="K143:L143"/>
    <mergeCell ref="M143:N143"/>
    <mergeCell ref="O143:P143"/>
    <mergeCell ref="B150:P150"/>
    <mergeCell ref="B151:B152"/>
    <mergeCell ref="C151:D151"/>
    <mergeCell ref="E151:F151"/>
    <mergeCell ref="G151:H151"/>
    <mergeCell ref="I151:J151"/>
    <mergeCell ref="E65:F65"/>
    <mergeCell ref="G65:H65"/>
    <mergeCell ref="I65:J65"/>
    <mergeCell ref="K151:L151"/>
    <mergeCell ref="M151:N151"/>
    <mergeCell ref="O151:P151"/>
    <mergeCell ref="B65:B66"/>
    <mergeCell ref="C89:D89"/>
    <mergeCell ref="E89:F89"/>
    <mergeCell ref="G89:H89"/>
    <mergeCell ref="I89:J89"/>
    <mergeCell ref="O97:P97"/>
    <mergeCell ref="G75:H75"/>
    <mergeCell ref="C65:D65"/>
    <mergeCell ref="B56:P56"/>
    <mergeCell ref="B57:B58"/>
    <mergeCell ref="K57:L57"/>
    <mergeCell ref="M57:N57"/>
    <mergeCell ref="O57:P57"/>
    <mergeCell ref="K65:L65"/>
    <mergeCell ref="M65:N65"/>
    <mergeCell ref="O65:P65"/>
    <mergeCell ref="A38:A53"/>
    <mergeCell ref="B38:P38"/>
    <mergeCell ref="B39:B40"/>
    <mergeCell ref="C39:D39"/>
    <mergeCell ref="E39:F39"/>
    <mergeCell ref="G39:H39"/>
    <mergeCell ref="I39:J39"/>
    <mergeCell ref="K39:L39"/>
    <mergeCell ref="M39:N39"/>
    <mergeCell ref="O39:P39"/>
    <mergeCell ref="B46:P46"/>
    <mergeCell ref="B47:B48"/>
    <mergeCell ref="C47:D47"/>
    <mergeCell ref="E47:F47"/>
    <mergeCell ref="G47:H47"/>
    <mergeCell ref="I47:J47"/>
    <mergeCell ref="K47:L47"/>
    <mergeCell ref="M47:N47"/>
    <mergeCell ref="O47:P4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3ECF-4C3C-4A6A-93FD-C9EEDD50477C}">
  <dimension ref="A2:M63"/>
  <sheetViews>
    <sheetView tabSelected="1" zoomScaleNormal="100" workbookViewId="0"/>
  </sheetViews>
  <sheetFormatPr defaultColWidth="10.58203125" defaultRowHeight="15" customHeight="1" x14ac:dyDescent="0.3"/>
  <cols>
    <col min="1" max="9" width="15.58203125" style="1" customWidth="1"/>
    <col min="10" max="16384" width="10.58203125" style="1"/>
  </cols>
  <sheetData>
    <row r="2" spans="1:13" ht="15" customHeight="1" x14ac:dyDescent="0.3">
      <c r="A2" s="10" t="s">
        <v>49</v>
      </c>
      <c r="B2" s="11" t="s">
        <v>13</v>
      </c>
      <c r="C2" s="11"/>
      <c r="D2" s="11"/>
      <c r="E2" s="11"/>
      <c r="F2" s="11"/>
      <c r="G2" s="11"/>
      <c r="H2" s="11"/>
      <c r="I2" s="11"/>
      <c r="K2" s="16" t="s">
        <v>48</v>
      </c>
      <c r="L2" s="16"/>
      <c r="M2" s="16"/>
    </row>
    <row r="3" spans="1:13" ht="15" customHeight="1" x14ac:dyDescent="0.3">
      <c r="A3" s="10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K3" s="16"/>
      <c r="L3" s="16"/>
      <c r="M3" s="16"/>
    </row>
    <row r="4" spans="1:13" ht="15" customHeight="1" x14ac:dyDescent="0.3">
      <c r="A4" s="10"/>
      <c r="B4" s="1" t="s">
        <v>8</v>
      </c>
      <c r="C4" s="3">
        <v>3.4887600000000001</v>
      </c>
      <c r="D4" s="3">
        <v>3.9917199999999999</v>
      </c>
      <c r="E4" s="3">
        <v>3.9032499999999999</v>
      </c>
      <c r="F4" s="3">
        <v>3.5311699999999999</v>
      </c>
      <c r="G4" s="3">
        <v>3.2837900000000002</v>
      </c>
      <c r="H4" s="3">
        <v>3.0286900000000001</v>
      </c>
      <c r="I4" s="3">
        <f>AVERAGE(C4:H4)</f>
        <v>3.5378966666666667</v>
      </c>
      <c r="K4" s="16"/>
      <c r="L4" s="16"/>
      <c r="M4" s="16"/>
    </row>
    <row r="5" spans="1:13" ht="15" customHeight="1" x14ac:dyDescent="0.3">
      <c r="A5" s="10"/>
      <c r="B5" s="1" t="s">
        <v>9</v>
      </c>
      <c r="C5" s="3">
        <v>3.5604499999999999</v>
      </c>
      <c r="D5" s="3">
        <v>4.0417300000000003</v>
      </c>
      <c r="E5" s="3">
        <v>3.9348399999999999</v>
      </c>
      <c r="F5" s="3">
        <v>3.6643300000000001</v>
      </c>
      <c r="G5" s="3">
        <v>3.3761100000000002</v>
      </c>
      <c r="H5" s="3">
        <v>3.1118700000000001</v>
      </c>
      <c r="I5" s="3">
        <f t="shared" ref="I5:I8" si="0">AVERAGE(C5:H5)</f>
        <v>3.614888333333333</v>
      </c>
      <c r="K5" s="16"/>
      <c r="L5" s="16"/>
      <c r="M5" s="16"/>
    </row>
    <row r="6" spans="1:13" ht="15" customHeight="1" x14ac:dyDescent="0.3">
      <c r="A6" s="10"/>
      <c r="B6" s="1" t="s">
        <v>10</v>
      </c>
      <c r="C6" s="3">
        <v>3.6102699999999999</v>
      </c>
      <c r="D6" s="3">
        <v>4.0987</v>
      </c>
      <c r="E6" s="3">
        <v>3.9797799999999999</v>
      </c>
      <c r="F6" s="3">
        <v>3.7359800000000001</v>
      </c>
      <c r="G6" s="3">
        <v>3.4294099999999998</v>
      </c>
      <c r="H6" s="3">
        <v>3.1799400000000002</v>
      </c>
      <c r="I6" s="3">
        <f t="shared" si="0"/>
        <v>3.672346666666666</v>
      </c>
      <c r="K6" s="16"/>
      <c r="L6" s="16"/>
      <c r="M6" s="16"/>
    </row>
    <row r="7" spans="1:13" ht="15" customHeight="1" x14ac:dyDescent="0.3">
      <c r="A7" s="10"/>
      <c r="B7" s="1" t="s">
        <v>11</v>
      </c>
      <c r="C7" s="3">
        <v>3.6406900000000002</v>
      </c>
      <c r="D7" s="3">
        <v>4.1417999999999999</v>
      </c>
      <c r="E7" s="3">
        <v>3.9980500000000001</v>
      </c>
      <c r="F7" s="3">
        <v>3.7732100000000002</v>
      </c>
      <c r="G7" s="3">
        <v>3.4695999999999998</v>
      </c>
      <c r="H7" s="3">
        <v>3.1838299999999999</v>
      </c>
      <c r="I7" s="3">
        <f t="shared" si="0"/>
        <v>3.7011966666666667</v>
      </c>
      <c r="K7" s="7"/>
      <c r="L7" s="7"/>
      <c r="M7" s="7"/>
    </row>
    <row r="8" spans="1:13" ht="15" customHeight="1" x14ac:dyDescent="0.3">
      <c r="A8" s="10"/>
      <c r="B8" s="2" t="s">
        <v>12</v>
      </c>
      <c r="C8" s="4">
        <v>3.6449799999999999</v>
      </c>
      <c r="D8" s="4">
        <v>4.1437999999999997</v>
      </c>
      <c r="E8" s="4">
        <v>4.0407999999999999</v>
      </c>
      <c r="F8" s="4">
        <v>3.7158699999999998</v>
      </c>
      <c r="G8" s="4">
        <v>3.4347500000000002</v>
      </c>
      <c r="H8" s="4">
        <v>3.1721300000000001</v>
      </c>
      <c r="I8" s="3">
        <f t="shared" si="0"/>
        <v>3.6920549999999999</v>
      </c>
      <c r="K8" s="7"/>
      <c r="L8" s="7"/>
      <c r="M8" s="7"/>
    </row>
    <row r="9" spans="1:13" ht="15" customHeight="1" x14ac:dyDescent="0.3">
      <c r="A9" s="10"/>
      <c r="B9" s="11" t="s">
        <v>14</v>
      </c>
      <c r="C9" s="11"/>
      <c r="D9" s="11"/>
      <c r="E9" s="11"/>
      <c r="F9" s="11"/>
      <c r="G9" s="11"/>
      <c r="H9" s="11"/>
      <c r="I9" s="11"/>
      <c r="K9" s="7"/>
      <c r="L9" s="7"/>
      <c r="M9" s="7"/>
    </row>
    <row r="10" spans="1:13" ht="15" customHeight="1" x14ac:dyDescent="0.3">
      <c r="A10" s="10"/>
      <c r="B10" s="8" t="s">
        <v>0</v>
      </c>
      <c r="C10" s="8" t="s">
        <v>1</v>
      </c>
      <c r="D10" s="8" t="s">
        <v>2</v>
      </c>
      <c r="E10" s="8" t="s">
        <v>3</v>
      </c>
      <c r="F10" s="8" t="s">
        <v>4</v>
      </c>
      <c r="G10" s="8" t="s">
        <v>5</v>
      </c>
      <c r="H10" s="8" t="s">
        <v>6</v>
      </c>
      <c r="I10" s="8" t="s">
        <v>7</v>
      </c>
      <c r="K10" s="7"/>
      <c r="L10" s="7"/>
      <c r="M10" s="7"/>
    </row>
    <row r="11" spans="1:13" ht="15" customHeight="1" x14ac:dyDescent="0.3">
      <c r="A11" s="10"/>
      <c r="B11" s="1" t="s">
        <v>8</v>
      </c>
      <c r="C11" s="3">
        <v>3.2531300000000001</v>
      </c>
      <c r="D11" s="3">
        <v>3.8433799999999998</v>
      </c>
      <c r="E11" s="3">
        <v>3.7427999999999999</v>
      </c>
      <c r="F11" s="3">
        <v>3.3991500000000001</v>
      </c>
      <c r="G11" s="3">
        <v>3.0832899999999999</v>
      </c>
      <c r="H11" s="3">
        <v>2.8618800000000002</v>
      </c>
      <c r="I11" s="3">
        <f>AVERAGE(C11:H11)</f>
        <v>3.3639383333333335</v>
      </c>
      <c r="K11" s="7"/>
      <c r="L11" s="7"/>
      <c r="M11" s="7"/>
    </row>
    <row r="12" spans="1:13" ht="15" customHeight="1" x14ac:dyDescent="0.3">
      <c r="A12" s="10"/>
      <c r="B12" s="1" t="s">
        <v>9</v>
      </c>
      <c r="C12" s="3">
        <v>3.3182100000000001</v>
      </c>
      <c r="D12" s="3">
        <v>3.8964099999999999</v>
      </c>
      <c r="E12" s="3">
        <v>3.7961800000000001</v>
      </c>
      <c r="F12" s="3">
        <v>3.49756</v>
      </c>
      <c r="G12" s="3">
        <v>3.1876799999999998</v>
      </c>
      <c r="H12" s="3">
        <v>2.9479799999999998</v>
      </c>
      <c r="I12" s="3">
        <f t="shared" ref="I12:I15" si="1">AVERAGE(C12:H12)</f>
        <v>3.4406700000000003</v>
      </c>
      <c r="K12" s="7"/>
      <c r="L12" s="7"/>
      <c r="M12" s="7"/>
    </row>
    <row r="13" spans="1:13" ht="15" customHeight="1" x14ac:dyDescent="0.3">
      <c r="A13" s="10"/>
      <c r="B13" s="1" t="s">
        <v>10</v>
      </c>
      <c r="C13" s="3">
        <v>3.3635100000000002</v>
      </c>
      <c r="D13" s="3">
        <v>3.95113</v>
      </c>
      <c r="E13" s="3">
        <v>3.8316300000000001</v>
      </c>
      <c r="F13" s="3">
        <v>3.51579</v>
      </c>
      <c r="G13" s="3">
        <v>3.2311000000000001</v>
      </c>
      <c r="H13" s="3">
        <v>3.0134400000000001</v>
      </c>
      <c r="I13" s="3">
        <f t="shared" si="1"/>
        <v>3.4844333333333335</v>
      </c>
      <c r="K13" s="7"/>
      <c r="L13" s="7"/>
      <c r="M13" s="7"/>
    </row>
    <row r="14" spans="1:13" ht="15" customHeight="1" x14ac:dyDescent="0.3">
      <c r="A14" s="10"/>
      <c r="B14" s="1" t="s">
        <v>11</v>
      </c>
      <c r="C14" s="3">
        <v>3.37913</v>
      </c>
      <c r="D14" s="3">
        <v>4.0005499999999996</v>
      </c>
      <c r="E14" s="3">
        <v>3.9093100000000001</v>
      </c>
      <c r="F14" s="3">
        <v>3.5877699999999999</v>
      </c>
      <c r="G14" s="3">
        <v>3.2903899999999999</v>
      </c>
      <c r="H14" s="3">
        <v>3.0245799999999998</v>
      </c>
      <c r="I14" s="3">
        <f t="shared" si="1"/>
        <v>3.531955</v>
      </c>
      <c r="K14" s="7"/>
      <c r="L14" s="7"/>
      <c r="M14" s="7"/>
    </row>
    <row r="15" spans="1:13" ht="15" customHeight="1" x14ac:dyDescent="0.3">
      <c r="A15" s="10"/>
      <c r="B15" s="2" t="s">
        <v>12</v>
      </c>
      <c r="C15" s="4">
        <v>3.3611300000000002</v>
      </c>
      <c r="D15" s="4">
        <v>4.0590400000000004</v>
      </c>
      <c r="E15" s="4">
        <v>3.8900800000000002</v>
      </c>
      <c r="F15" s="4">
        <v>3.4881500000000001</v>
      </c>
      <c r="G15" s="4">
        <v>3.2920500000000001</v>
      </c>
      <c r="H15" s="4">
        <v>2.9759099999999998</v>
      </c>
      <c r="I15" s="4">
        <f t="shared" si="1"/>
        <v>3.5110600000000001</v>
      </c>
      <c r="K15" s="7"/>
      <c r="L15" s="7"/>
      <c r="M15" s="7"/>
    </row>
    <row r="16" spans="1:13" ht="15" customHeight="1" x14ac:dyDescent="0.3">
      <c r="C16" s="3"/>
      <c r="D16" s="3"/>
      <c r="E16" s="3"/>
      <c r="F16" s="3"/>
      <c r="G16" s="3"/>
      <c r="H16" s="3"/>
      <c r="I16" s="3"/>
      <c r="K16" s="7"/>
      <c r="L16" s="7"/>
      <c r="M16" s="7"/>
    </row>
    <row r="17" spans="1:13" ht="15" customHeight="1" x14ac:dyDescent="0.3">
      <c r="K17" s="7"/>
      <c r="L17" s="7"/>
      <c r="M17" s="7"/>
    </row>
    <row r="18" spans="1:13" ht="15" customHeight="1" x14ac:dyDescent="0.3">
      <c r="A18" s="10" t="s">
        <v>38</v>
      </c>
      <c r="B18" s="11" t="s">
        <v>13</v>
      </c>
      <c r="C18" s="11"/>
      <c r="D18" s="11"/>
      <c r="E18" s="11"/>
      <c r="F18" s="11"/>
      <c r="G18" s="11"/>
      <c r="H18" s="11"/>
      <c r="I18" s="11"/>
      <c r="K18" s="7"/>
      <c r="L18" s="7"/>
      <c r="M18" s="7"/>
    </row>
    <row r="19" spans="1:13" ht="15" customHeight="1" x14ac:dyDescent="0.3">
      <c r="A19" s="10"/>
      <c r="B19" s="8" t="s">
        <v>0</v>
      </c>
      <c r="C19" s="8" t="s">
        <v>1</v>
      </c>
      <c r="D19" s="8" t="s">
        <v>2</v>
      </c>
      <c r="E19" s="8" t="s">
        <v>3</v>
      </c>
      <c r="F19" s="8" t="s">
        <v>4</v>
      </c>
      <c r="G19" s="8" t="s">
        <v>5</v>
      </c>
      <c r="H19" s="8" t="s">
        <v>6</v>
      </c>
      <c r="I19" s="8" t="s">
        <v>7</v>
      </c>
      <c r="K19" s="7"/>
      <c r="L19" s="7"/>
      <c r="M19" s="7"/>
    </row>
    <row r="20" spans="1:13" ht="15" customHeight="1" x14ac:dyDescent="0.3">
      <c r="A20" s="10"/>
      <c r="B20" s="1" t="s">
        <v>8</v>
      </c>
      <c r="C20" s="3">
        <v>3.63564</v>
      </c>
      <c r="D20" s="3">
        <v>4.1789699999999996</v>
      </c>
      <c r="E20" s="3">
        <v>4.0852000000000004</v>
      </c>
      <c r="F20" s="3">
        <v>3.7397300000000002</v>
      </c>
      <c r="G20" s="3">
        <v>3.45722</v>
      </c>
      <c r="H20" s="3">
        <v>3.13395</v>
      </c>
      <c r="I20" s="3">
        <f>AVERAGE(C20:H20)</f>
        <v>3.7051183333333331</v>
      </c>
      <c r="K20" s="7"/>
      <c r="L20" s="7"/>
      <c r="M20" s="7"/>
    </row>
    <row r="21" spans="1:13" ht="15" customHeight="1" x14ac:dyDescent="0.3">
      <c r="A21" s="10"/>
      <c r="B21" s="1" t="s">
        <v>9</v>
      </c>
      <c r="C21" s="3">
        <v>3.71075</v>
      </c>
      <c r="D21" s="3">
        <v>4.2840199999999999</v>
      </c>
      <c r="E21" s="3">
        <v>4.1320499999999996</v>
      </c>
      <c r="F21" s="3">
        <v>3.81094</v>
      </c>
      <c r="G21" s="3">
        <v>3.5468700000000002</v>
      </c>
      <c r="H21" s="3">
        <v>3.2225700000000002</v>
      </c>
      <c r="I21" s="3">
        <f t="shared" ref="I21:I24" si="2">AVERAGE(C21:H21)</f>
        <v>3.7845333333333335</v>
      </c>
      <c r="K21" s="7"/>
      <c r="L21" s="7"/>
      <c r="M21" s="7"/>
    </row>
    <row r="22" spans="1:13" ht="15" customHeight="1" x14ac:dyDescent="0.3">
      <c r="A22" s="10"/>
      <c r="B22" s="1" t="s">
        <v>10</v>
      </c>
      <c r="C22" s="3">
        <v>3.7817099999999999</v>
      </c>
      <c r="D22" s="3">
        <v>4.3186200000000001</v>
      </c>
      <c r="E22" s="3">
        <v>4.1997499999999999</v>
      </c>
      <c r="F22" s="3">
        <v>3.9019499999999998</v>
      </c>
      <c r="G22" s="3">
        <v>3.6182599999999998</v>
      </c>
      <c r="H22" s="3">
        <v>3.31412</v>
      </c>
      <c r="I22" s="3">
        <f t="shared" si="2"/>
        <v>3.8557349999999997</v>
      </c>
      <c r="K22" s="7"/>
      <c r="L22" s="7"/>
      <c r="M22" s="7"/>
    </row>
    <row r="23" spans="1:13" ht="15" customHeight="1" x14ac:dyDescent="0.3">
      <c r="A23" s="10"/>
      <c r="B23" s="1" t="s">
        <v>11</v>
      </c>
      <c r="C23" s="3">
        <v>3.7954300000000001</v>
      </c>
      <c r="D23" s="3">
        <v>4.3294100000000002</v>
      </c>
      <c r="E23" s="3">
        <v>4.2097199999999999</v>
      </c>
      <c r="F23" s="3">
        <v>3.9214099999999998</v>
      </c>
      <c r="G23" s="3">
        <v>3.62622</v>
      </c>
      <c r="H23" s="3">
        <v>3.3083100000000001</v>
      </c>
      <c r="I23" s="3">
        <f t="shared" si="2"/>
        <v>3.8650833333333328</v>
      </c>
      <c r="K23" s="7"/>
      <c r="L23" s="7"/>
      <c r="M23" s="7"/>
    </row>
    <row r="24" spans="1:13" ht="15" customHeight="1" x14ac:dyDescent="0.3">
      <c r="A24" s="10"/>
      <c r="B24" s="2" t="s">
        <v>12</v>
      </c>
      <c r="C24" s="4">
        <v>3.7794500000000002</v>
      </c>
      <c r="D24" s="4">
        <v>4.3605</v>
      </c>
      <c r="E24" s="4">
        <v>4.2397499999999999</v>
      </c>
      <c r="F24" s="4">
        <v>3.89344</v>
      </c>
      <c r="G24" s="4">
        <v>3.6080700000000001</v>
      </c>
      <c r="H24" s="4">
        <v>3.2756400000000001</v>
      </c>
      <c r="I24" s="3">
        <f t="shared" si="2"/>
        <v>3.8594749999999998</v>
      </c>
      <c r="K24" s="7"/>
      <c r="L24" s="7"/>
      <c r="M24" s="7"/>
    </row>
    <row r="25" spans="1:13" ht="15" customHeight="1" x14ac:dyDescent="0.3">
      <c r="A25" s="10"/>
      <c r="B25" s="11" t="s">
        <v>14</v>
      </c>
      <c r="C25" s="11"/>
      <c r="D25" s="11"/>
      <c r="E25" s="11"/>
      <c r="F25" s="11"/>
      <c r="G25" s="11"/>
      <c r="H25" s="11"/>
      <c r="I25" s="11"/>
      <c r="K25" s="7"/>
      <c r="L25" s="7"/>
      <c r="M25" s="7"/>
    </row>
    <row r="26" spans="1:13" ht="15" customHeight="1" x14ac:dyDescent="0.3">
      <c r="A26" s="10"/>
      <c r="B26" s="8" t="s">
        <v>0</v>
      </c>
      <c r="C26" s="8" t="s">
        <v>1</v>
      </c>
      <c r="D26" s="8" t="s">
        <v>2</v>
      </c>
      <c r="E26" s="8" t="s">
        <v>3</v>
      </c>
      <c r="F26" s="8" t="s">
        <v>4</v>
      </c>
      <c r="G26" s="8" t="s">
        <v>5</v>
      </c>
      <c r="H26" s="8" t="s">
        <v>6</v>
      </c>
      <c r="I26" s="8" t="s">
        <v>7</v>
      </c>
      <c r="K26" s="7"/>
      <c r="L26" s="7"/>
      <c r="M26" s="7"/>
    </row>
    <row r="27" spans="1:13" ht="15" customHeight="1" x14ac:dyDescent="0.3">
      <c r="A27" s="10"/>
      <c r="B27" s="1" t="s">
        <v>8</v>
      </c>
      <c r="C27" s="3">
        <v>3.4085200000000002</v>
      </c>
      <c r="D27" s="3">
        <v>4.0423600000000004</v>
      </c>
      <c r="E27" s="3">
        <v>4.0002000000000004</v>
      </c>
      <c r="F27" s="3">
        <v>3.4714999999999998</v>
      </c>
      <c r="G27" s="3">
        <v>3.2962500000000001</v>
      </c>
      <c r="H27" s="3">
        <v>2.9443999999999999</v>
      </c>
      <c r="I27" s="3">
        <f>AVERAGE(C27:H27)</f>
        <v>3.5272049999999999</v>
      </c>
      <c r="K27" s="7"/>
      <c r="L27" s="7"/>
      <c r="M27" s="7"/>
    </row>
    <row r="28" spans="1:13" ht="15" customHeight="1" x14ac:dyDescent="0.3">
      <c r="A28" s="10"/>
      <c r="B28" s="1" t="s">
        <v>9</v>
      </c>
      <c r="C28" s="3">
        <v>3.46767</v>
      </c>
      <c r="D28" s="3">
        <v>4.1056999999999997</v>
      </c>
      <c r="E28" s="3">
        <v>4.00054</v>
      </c>
      <c r="F28" s="3">
        <v>3.5737800000000002</v>
      </c>
      <c r="G28" s="3">
        <v>3.3565700000000001</v>
      </c>
      <c r="H28" s="3">
        <v>3.0705399999999998</v>
      </c>
      <c r="I28" s="3">
        <f t="shared" ref="I28:I31" si="3">AVERAGE(C28:H28)</f>
        <v>3.5958000000000006</v>
      </c>
      <c r="K28" s="7"/>
      <c r="L28" s="7"/>
      <c r="M28" s="7"/>
    </row>
    <row r="29" spans="1:13" ht="15" customHeight="1" x14ac:dyDescent="0.3">
      <c r="A29" s="10"/>
      <c r="B29" s="1" t="s">
        <v>10</v>
      </c>
      <c r="C29" s="3">
        <v>3.5109400000000002</v>
      </c>
      <c r="D29" s="3">
        <v>4.1886799999999997</v>
      </c>
      <c r="E29" s="3">
        <v>4.0579400000000003</v>
      </c>
      <c r="F29" s="3">
        <v>3.6974999999999998</v>
      </c>
      <c r="G29" s="3">
        <v>3.3977400000000002</v>
      </c>
      <c r="H29" s="3">
        <v>3.0627900000000001</v>
      </c>
      <c r="I29" s="3">
        <f t="shared" si="3"/>
        <v>3.6525983333333332</v>
      </c>
      <c r="K29" s="7"/>
      <c r="L29" s="7"/>
      <c r="M29" s="7"/>
    </row>
    <row r="30" spans="1:13" ht="15" customHeight="1" x14ac:dyDescent="0.3">
      <c r="A30" s="10"/>
      <c r="B30" s="1" t="s">
        <v>11</v>
      </c>
      <c r="C30" s="3">
        <v>3.5338400000000001</v>
      </c>
      <c r="D30" s="3">
        <v>4.2080599999999997</v>
      </c>
      <c r="E30" s="3">
        <v>4.0464700000000002</v>
      </c>
      <c r="F30" s="3">
        <v>3.65428</v>
      </c>
      <c r="G30" s="3">
        <v>3.4077999999999999</v>
      </c>
      <c r="H30" s="3">
        <v>3.1423000000000001</v>
      </c>
      <c r="I30" s="3">
        <f t="shared" si="3"/>
        <v>3.6654583333333335</v>
      </c>
      <c r="K30" s="7"/>
      <c r="L30" s="7"/>
      <c r="M30" s="7"/>
    </row>
    <row r="31" spans="1:13" ht="15" customHeight="1" x14ac:dyDescent="0.3">
      <c r="A31" s="10"/>
      <c r="B31" s="2" t="s">
        <v>12</v>
      </c>
      <c r="C31" s="4">
        <v>3.5156399999999999</v>
      </c>
      <c r="D31" s="4">
        <v>4.2104799999999996</v>
      </c>
      <c r="E31" s="4">
        <v>4.0918400000000004</v>
      </c>
      <c r="F31" s="4">
        <v>3.6869200000000002</v>
      </c>
      <c r="G31" s="4">
        <v>3.3616299999999999</v>
      </c>
      <c r="H31" s="4">
        <v>3.04182</v>
      </c>
      <c r="I31" s="4">
        <f t="shared" si="3"/>
        <v>3.6513883333333332</v>
      </c>
      <c r="K31" s="7"/>
      <c r="L31" s="7"/>
      <c r="M31" s="7"/>
    </row>
    <row r="32" spans="1:13" ht="15" customHeight="1" x14ac:dyDescent="0.3">
      <c r="C32" s="3"/>
      <c r="D32" s="3"/>
      <c r="E32" s="3"/>
      <c r="F32" s="3"/>
      <c r="G32" s="3"/>
      <c r="H32" s="3"/>
      <c r="I32" s="3"/>
      <c r="K32" s="7"/>
      <c r="L32" s="7"/>
      <c r="M32" s="7"/>
    </row>
    <row r="33" spans="1:13" ht="15" customHeight="1" x14ac:dyDescent="0.3">
      <c r="K33" s="7"/>
      <c r="L33" s="7"/>
      <c r="M33" s="7"/>
    </row>
    <row r="34" spans="1:13" ht="15" customHeight="1" x14ac:dyDescent="0.3">
      <c r="A34" s="10" t="s">
        <v>50</v>
      </c>
      <c r="B34" s="11" t="s">
        <v>13</v>
      </c>
      <c r="C34" s="11"/>
      <c r="D34" s="11"/>
      <c r="E34" s="11"/>
      <c r="F34" s="11"/>
      <c r="G34" s="11"/>
      <c r="H34" s="11"/>
      <c r="I34" s="11"/>
      <c r="K34" s="7"/>
      <c r="L34" s="7"/>
      <c r="M34" s="7"/>
    </row>
    <row r="35" spans="1:13" ht="15" customHeight="1" x14ac:dyDescent="0.3">
      <c r="A35" s="10"/>
      <c r="B35" s="8" t="s">
        <v>0</v>
      </c>
      <c r="C35" s="8" t="s">
        <v>1</v>
      </c>
      <c r="D35" s="8" t="s">
        <v>2</v>
      </c>
      <c r="E35" s="8" t="s">
        <v>3</v>
      </c>
      <c r="F35" s="8" t="s">
        <v>4</v>
      </c>
      <c r="G35" s="8" t="s">
        <v>5</v>
      </c>
      <c r="H35" s="8" t="s">
        <v>6</v>
      </c>
      <c r="I35" s="8" t="s">
        <v>7</v>
      </c>
      <c r="K35" s="7"/>
      <c r="L35" s="7"/>
      <c r="M35" s="7"/>
    </row>
    <row r="36" spans="1:13" ht="15" customHeight="1" x14ac:dyDescent="0.3">
      <c r="A36" s="10"/>
      <c r="B36" s="1" t="s">
        <v>8</v>
      </c>
      <c r="C36" s="3">
        <v>3.7365200000000001</v>
      </c>
      <c r="D36" s="3">
        <v>4.3253899999999996</v>
      </c>
      <c r="E36" s="3">
        <v>4.1037499999999998</v>
      </c>
      <c r="F36" s="3">
        <v>3.9342899999999998</v>
      </c>
      <c r="G36" s="3">
        <v>3.4058899999999999</v>
      </c>
      <c r="H36" s="3">
        <v>3.1698300000000001</v>
      </c>
      <c r="I36" s="3">
        <f>AVERAGE(C36:H36)</f>
        <v>3.7792783333333335</v>
      </c>
      <c r="K36" s="7"/>
      <c r="L36" s="7"/>
      <c r="M36" s="7"/>
    </row>
    <row r="37" spans="1:13" ht="15" customHeight="1" x14ac:dyDescent="0.3">
      <c r="A37" s="10"/>
      <c r="B37" s="1" t="s">
        <v>9</v>
      </c>
      <c r="C37" s="3">
        <v>3.8890500000000001</v>
      </c>
      <c r="D37" s="3">
        <v>4.4340999999999999</v>
      </c>
      <c r="E37" s="3">
        <v>4.2896099999999997</v>
      </c>
      <c r="F37" s="3">
        <v>4.0579400000000003</v>
      </c>
      <c r="G37" s="3">
        <v>3.5397699999999999</v>
      </c>
      <c r="H37" s="3">
        <v>3.32416</v>
      </c>
      <c r="I37" s="3">
        <f>AVERAGE(C37:H37)</f>
        <v>3.9224383333333335</v>
      </c>
      <c r="K37" s="7"/>
      <c r="L37" s="7"/>
      <c r="M37" s="7"/>
    </row>
    <row r="38" spans="1:13" ht="15" customHeight="1" x14ac:dyDescent="0.3">
      <c r="A38" s="10"/>
      <c r="B38" s="1" t="s">
        <v>10</v>
      </c>
      <c r="C38" s="3">
        <v>4.0133700000000001</v>
      </c>
      <c r="D38" s="3">
        <v>4.5203899999999999</v>
      </c>
      <c r="E38" s="3">
        <v>4.3979499999999998</v>
      </c>
      <c r="F38" s="3">
        <v>4.1351000000000004</v>
      </c>
      <c r="G38" s="3">
        <v>3.6560899999999998</v>
      </c>
      <c r="H38" s="3">
        <v>3.4356399999999998</v>
      </c>
      <c r="I38" s="3">
        <f>AVERAGE(C38:H38)</f>
        <v>4.0264233333333328</v>
      </c>
      <c r="K38" s="7"/>
      <c r="L38" s="7"/>
      <c r="M38" s="7"/>
    </row>
    <row r="39" spans="1:13" ht="15" customHeight="1" x14ac:dyDescent="0.3">
      <c r="A39" s="10"/>
      <c r="B39" s="1" t="s">
        <v>11</v>
      </c>
      <c r="C39" s="3">
        <v>4.0481499999999997</v>
      </c>
      <c r="D39" s="3">
        <v>4.5385</v>
      </c>
      <c r="E39" s="3">
        <v>4.4717000000000002</v>
      </c>
      <c r="F39" s="3">
        <v>4.2060399999999998</v>
      </c>
      <c r="G39" s="3">
        <v>3.7328700000000001</v>
      </c>
      <c r="H39" s="3">
        <v>3.51709</v>
      </c>
      <c r="I39" s="3">
        <f>AVERAGE(C39:H39)</f>
        <v>4.0857249999999992</v>
      </c>
      <c r="K39" s="7"/>
      <c r="L39" s="7"/>
      <c r="M39" s="7"/>
    </row>
    <row r="40" spans="1:13" ht="15" customHeight="1" x14ac:dyDescent="0.3">
      <c r="A40" s="10"/>
      <c r="B40" s="2" t="s">
        <v>12</v>
      </c>
      <c r="C40" s="4">
        <v>4.0620900000000004</v>
      </c>
      <c r="D40" s="4">
        <v>4.5435800000000004</v>
      </c>
      <c r="E40" s="4">
        <v>4.45817</v>
      </c>
      <c r="F40" s="4">
        <v>4.1726000000000001</v>
      </c>
      <c r="G40" s="4">
        <v>3.7221899999999999</v>
      </c>
      <c r="H40" s="4">
        <v>3.5068100000000002</v>
      </c>
      <c r="I40" s="4">
        <f>AVERAGE(C40:H40)</f>
        <v>4.0775733333333335</v>
      </c>
      <c r="K40" s="7"/>
      <c r="L40" s="7"/>
      <c r="M40" s="7"/>
    </row>
    <row r="41" spans="1:13" ht="15" customHeight="1" x14ac:dyDescent="0.3">
      <c r="A41" s="10"/>
      <c r="B41" s="11" t="s">
        <v>14</v>
      </c>
      <c r="C41" s="11"/>
      <c r="D41" s="11"/>
      <c r="E41" s="11"/>
      <c r="F41" s="11"/>
      <c r="G41" s="11"/>
      <c r="H41" s="11"/>
      <c r="I41" s="11"/>
      <c r="K41" s="7"/>
      <c r="L41" s="7"/>
      <c r="M41" s="7"/>
    </row>
    <row r="42" spans="1:13" ht="15" customHeight="1" x14ac:dyDescent="0.3">
      <c r="A42" s="10"/>
      <c r="B42" s="8" t="s">
        <v>0</v>
      </c>
      <c r="C42" s="8" t="s">
        <v>1</v>
      </c>
      <c r="D42" s="8" t="s">
        <v>2</v>
      </c>
      <c r="E42" s="8" t="s">
        <v>3</v>
      </c>
      <c r="F42" s="8" t="s">
        <v>4</v>
      </c>
      <c r="G42" s="8" t="s">
        <v>5</v>
      </c>
      <c r="H42" s="8" t="s">
        <v>6</v>
      </c>
      <c r="I42" s="8" t="s">
        <v>7</v>
      </c>
      <c r="K42" s="7"/>
      <c r="L42" s="7"/>
      <c r="M42" s="7"/>
    </row>
    <row r="43" spans="1:13" ht="15" customHeight="1" x14ac:dyDescent="0.3">
      <c r="A43" s="10"/>
      <c r="B43" s="1" t="s">
        <v>8</v>
      </c>
      <c r="C43" s="3">
        <v>3.4531000000000001</v>
      </c>
      <c r="D43" s="3">
        <v>4.16472</v>
      </c>
      <c r="E43" s="3">
        <v>4.0067300000000001</v>
      </c>
      <c r="F43" s="3">
        <v>3.6322199999999998</v>
      </c>
      <c r="G43" s="3">
        <v>3.15422</v>
      </c>
      <c r="H43" s="3">
        <v>2.9299300000000001</v>
      </c>
      <c r="I43" s="3">
        <f>AVERAGE(C43:H43)</f>
        <v>3.5568199999999996</v>
      </c>
      <c r="K43" s="7"/>
      <c r="L43" s="7"/>
      <c r="M43" s="7"/>
    </row>
    <row r="44" spans="1:13" ht="15" customHeight="1" x14ac:dyDescent="0.3">
      <c r="A44" s="10"/>
      <c r="B44" s="1" t="s">
        <v>9</v>
      </c>
      <c r="C44" s="3">
        <v>3.58365</v>
      </c>
      <c r="D44" s="3">
        <v>4.2322100000000002</v>
      </c>
      <c r="E44" s="3">
        <v>4.1231099999999996</v>
      </c>
      <c r="F44" s="3">
        <v>3.7655099999999999</v>
      </c>
      <c r="G44" s="3">
        <v>3.2477200000000002</v>
      </c>
      <c r="H44" s="3">
        <v>3.1305000000000001</v>
      </c>
      <c r="I44" s="3">
        <f>AVERAGE(C44:H44)</f>
        <v>3.6804500000000004</v>
      </c>
      <c r="K44" s="7"/>
      <c r="L44" s="7"/>
      <c r="M44" s="7"/>
    </row>
    <row r="45" spans="1:13" ht="15" customHeight="1" x14ac:dyDescent="0.3">
      <c r="A45" s="10"/>
      <c r="B45" s="1" t="s">
        <v>10</v>
      </c>
      <c r="C45" s="3">
        <v>3.7147000000000001</v>
      </c>
      <c r="D45" s="3">
        <v>4.3580100000000002</v>
      </c>
      <c r="E45" s="3">
        <v>4.2542200000000001</v>
      </c>
      <c r="F45" s="3">
        <v>3.8714</v>
      </c>
      <c r="G45" s="3">
        <v>3.42137</v>
      </c>
      <c r="H45" s="3">
        <v>3.2149800000000002</v>
      </c>
      <c r="I45" s="3">
        <f>AVERAGE(C45:H45)</f>
        <v>3.8057800000000004</v>
      </c>
      <c r="K45" s="7"/>
      <c r="L45" s="7"/>
      <c r="M45" s="7"/>
    </row>
    <row r="46" spans="1:13" ht="15" customHeight="1" x14ac:dyDescent="0.3">
      <c r="A46" s="10"/>
      <c r="B46" s="1" t="s">
        <v>11</v>
      </c>
      <c r="C46" s="3">
        <v>3.73434</v>
      </c>
      <c r="D46" s="3">
        <v>4.3380099999999997</v>
      </c>
      <c r="E46" s="3">
        <v>4.3309699999999998</v>
      </c>
      <c r="F46" s="3">
        <v>3.9077000000000002</v>
      </c>
      <c r="G46" s="3">
        <v>3.4649700000000001</v>
      </c>
      <c r="H46" s="3">
        <v>3.2824599999999999</v>
      </c>
      <c r="I46" s="3">
        <f>AVERAGE(C46:H46)</f>
        <v>3.8430750000000002</v>
      </c>
      <c r="K46" s="7"/>
      <c r="L46" s="7"/>
      <c r="M46" s="7"/>
    </row>
    <row r="47" spans="1:13" ht="15" customHeight="1" x14ac:dyDescent="0.3">
      <c r="A47" s="10"/>
      <c r="B47" s="2" t="s">
        <v>12</v>
      </c>
      <c r="C47" s="4">
        <v>3.7559300000000002</v>
      </c>
      <c r="D47" s="4">
        <v>4.4013499999999999</v>
      </c>
      <c r="E47" s="4">
        <v>4.3161100000000001</v>
      </c>
      <c r="F47" s="4">
        <v>3.95845</v>
      </c>
      <c r="G47" s="4">
        <v>3.45113</v>
      </c>
      <c r="H47" s="4">
        <v>3.2126100000000002</v>
      </c>
      <c r="I47" s="4">
        <f>AVERAGE(C47:H47)</f>
        <v>3.8492633333333335</v>
      </c>
      <c r="K47" s="7"/>
      <c r="L47" s="7"/>
      <c r="M47" s="7"/>
    </row>
    <row r="48" spans="1:13" ht="15" customHeight="1" x14ac:dyDescent="0.3">
      <c r="K48" s="7"/>
      <c r="L48" s="7"/>
      <c r="M48" s="7"/>
    </row>
    <row r="50" spans="1:9" ht="15" customHeight="1" x14ac:dyDescent="0.3">
      <c r="A50" s="9" t="s">
        <v>51</v>
      </c>
      <c r="B50" s="11" t="s">
        <v>13</v>
      </c>
      <c r="C50" s="11"/>
      <c r="D50" s="11"/>
      <c r="E50" s="11"/>
      <c r="F50" s="11"/>
      <c r="G50" s="11"/>
      <c r="H50" s="11"/>
      <c r="I50" s="11"/>
    </row>
    <row r="51" spans="1:9" ht="15" customHeight="1" x14ac:dyDescent="0.3">
      <c r="A51" s="10"/>
      <c r="B51" s="8" t="s">
        <v>0</v>
      </c>
      <c r="C51" s="8" t="s">
        <v>1</v>
      </c>
      <c r="D51" s="8" t="s">
        <v>2</v>
      </c>
      <c r="E51" s="8" t="s">
        <v>3</v>
      </c>
      <c r="F51" s="8" t="s">
        <v>4</v>
      </c>
      <c r="G51" s="8" t="s">
        <v>5</v>
      </c>
      <c r="H51" s="8" t="s">
        <v>6</v>
      </c>
      <c r="I51" s="8" t="s">
        <v>7</v>
      </c>
    </row>
    <row r="52" spans="1:9" ht="15" customHeight="1" x14ac:dyDescent="0.3">
      <c r="A52" s="10"/>
      <c r="B52" s="1" t="s">
        <v>31</v>
      </c>
      <c r="C52" s="3">
        <v>3.9073099999999998</v>
      </c>
      <c r="D52" s="3">
        <v>4.5342099999999999</v>
      </c>
      <c r="E52" s="3">
        <v>4.3727200000000002</v>
      </c>
      <c r="F52" s="3">
        <v>4.0216599999999998</v>
      </c>
      <c r="G52" s="3">
        <v>3.7646899999999999</v>
      </c>
      <c r="H52" s="3">
        <v>3.3768199999999999</v>
      </c>
      <c r="I52" s="3">
        <f>AVERAGE(C52:H52)</f>
        <v>3.9962350000000004</v>
      </c>
    </row>
    <row r="53" spans="1:9" ht="15" customHeight="1" x14ac:dyDescent="0.3">
      <c r="A53" s="10"/>
      <c r="B53" s="1" t="s">
        <v>32</v>
      </c>
      <c r="C53" s="3">
        <v>3.9943200000000001</v>
      </c>
      <c r="D53" s="3">
        <v>4.5673700000000004</v>
      </c>
      <c r="E53" s="3">
        <v>4.4665699999999999</v>
      </c>
      <c r="F53" s="3">
        <v>4.0601399999999996</v>
      </c>
      <c r="G53" s="3">
        <v>3.8297500000000002</v>
      </c>
      <c r="H53" s="3">
        <v>3.49187</v>
      </c>
      <c r="I53" s="3">
        <f t="shared" ref="I53:I56" si="4">AVERAGE(C53:H53)</f>
        <v>4.0683366666666663</v>
      </c>
    </row>
    <row r="54" spans="1:9" ht="15" customHeight="1" x14ac:dyDescent="0.3">
      <c r="A54" s="10"/>
      <c r="B54" s="1" t="s">
        <v>33</v>
      </c>
      <c r="C54" s="3">
        <v>4.10656</v>
      </c>
      <c r="D54" s="3">
        <v>4.6516900000000003</v>
      </c>
      <c r="E54" s="3">
        <v>4.5485300000000004</v>
      </c>
      <c r="F54" s="3">
        <v>4.1994899999999999</v>
      </c>
      <c r="G54" s="3">
        <v>3.9811899999999998</v>
      </c>
      <c r="H54" s="3">
        <v>3.60128</v>
      </c>
      <c r="I54" s="3">
        <f t="shared" si="4"/>
        <v>4.1814566666666666</v>
      </c>
    </row>
    <row r="55" spans="1:9" ht="15" customHeight="1" x14ac:dyDescent="0.3">
      <c r="A55" s="10"/>
      <c r="B55" s="1" t="s">
        <v>34</v>
      </c>
      <c r="C55" s="3">
        <v>4.1453800000000003</v>
      </c>
      <c r="D55" s="3">
        <v>4.6846899999999998</v>
      </c>
      <c r="E55" s="3">
        <v>4.5937400000000004</v>
      </c>
      <c r="F55" s="3">
        <v>4.2328299999999999</v>
      </c>
      <c r="G55" s="3">
        <v>4.0305499999999999</v>
      </c>
      <c r="H55" s="3">
        <v>3.6250399999999998</v>
      </c>
      <c r="I55" s="3">
        <f t="shared" si="4"/>
        <v>4.2187049999999999</v>
      </c>
    </row>
    <row r="56" spans="1:9" ht="15" customHeight="1" x14ac:dyDescent="0.3">
      <c r="A56" s="10"/>
      <c r="B56" s="2" t="s">
        <v>35</v>
      </c>
      <c r="C56" s="4">
        <v>4.1698199999999996</v>
      </c>
      <c r="D56" s="4">
        <v>4.6843300000000001</v>
      </c>
      <c r="E56" s="4">
        <v>4.6005599999999998</v>
      </c>
      <c r="F56" s="4">
        <v>4.2334300000000002</v>
      </c>
      <c r="G56" s="4">
        <v>4.07043</v>
      </c>
      <c r="H56" s="4">
        <v>3.66852</v>
      </c>
      <c r="I56" s="3">
        <f t="shared" si="4"/>
        <v>4.237848333333333</v>
      </c>
    </row>
    <row r="57" spans="1:9" ht="15" customHeight="1" x14ac:dyDescent="0.3">
      <c r="A57" s="10"/>
      <c r="B57" s="11" t="s">
        <v>14</v>
      </c>
      <c r="C57" s="11"/>
      <c r="D57" s="11"/>
      <c r="E57" s="11"/>
      <c r="F57" s="11"/>
      <c r="G57" s="11"/>
      <c r="H57" s="11"/>
      <c r="I57" s="11"/>
    </row>
    <row r="58" spans="1:9" ht="15" customHeight="1" x14ac:dyDescent="0.3">
      <c r="A58" s="10"/>
      <c r="B58" s="8" t="s">
        <v>0</v>
      </c>
      <c r="C58" s="8" t="s">
        <v>1</v>
      </c>
      <c r="D58" s="8" t="s">
        <v>2</v>
      </c>
      <c r="E58" s="8" t="s">
        <v>3</v>
      </c>
      <c r="F58" s="8" t="s">
        <v>4</v>
      </c>
      <c r="G58" s="8" t="s">
        <v>5</v>
      </c>
      <c r="H58" s="8" t="s">
        <v>6</v>
      </c>
      <c r="I58" s="8" t="s">
        <v>7</v>
      </c>
    </row>
    <row r="59" spans="1:9" ht="15" customHeight="1" x14ac:dyDescent="0.3">
      <c r="A59" s="10"/>
      <c r="B59" s="1" t="s">
        <v>31</v>
      </c>
      <c r="C59" s="3">
        <v>3.5872099999999998</v>
      </c>
      <c r="D59" s="3">
        <v>4.3130300000000004</v>
      </c>
      <c r="E59" s="3">
        <v>4.1990499999999997</v>
      </c>
      <c r="F59" s="3">
        <v>3.7578399999999998</v>
      </c>
      <c r="G59" s="3">
        <v>3.5193099999999999</v>
      </c>
      <c r="H59" s="3">
        <v>3.1539299999999999</v>
      </c>
      <c r="I59" s="3">
        <f>AVERAGE(C59:H59)</f>
        <v>3.7550616666666663</v>
      </c>
    </row>
    <row r="60" spans="1:9" ht="15" customHeight="1" x14ac:dyDescent="0.3">
      <c r="A60" s="10"/>
      <c r="B60" s="1" t="s">
        <v>32</v>
      </c>
      <c r="C60" s="3">
        <v>3.65069</v>
      </c>
      <c r="D60" s="3">
        <v>4.3864599999999996</v>
      </c>
      <c r="E60" s="3">
        <v>4.2985300000000004</v>
      </c>
      <c r="F60" s="3">
        <v>3.8285999999999998</v>
      </c>
      <c r="G60" s="3">
        <v>3.5962100000000001</v>
      </c>
      <c r="H60" s="3">
        <v>3.2344900000000001</v>
      </c>
      <c r="I60" s="3">
        <f t="shared" ref="I60:I63" si="5">AVERAGE(C60:H60)</f>
        <v>3.8324966666666662</v>
      </c>
    </row>
    <row r="61" spans="1:9" ht="15" customHeight="1" x14ac:dyDescent="0.3">
      <c r="A61" s="10"/>
      <c r="B61" s="1" t="s">
        <v>33</v>
      </c>
      <c r="C61" s="3">
        <v>3.78931</v>
      </c>
      <c r="D61" s="3">
        <v>4.47865</v>
      </c>
      <c r="E61" s="3">
        <v>4.3454499999999996</v>
      </c>
      <c r="F61" s="3">
        <v>3.91086</v>
      </c>
      <c r="G61" s="3">
        <v>3.6721900000000001</v>
      </c>
      <c r="H61" s="3">
        <v>3.3535499999999998</v>
      </c>
      <c r="I61" s="3">
        <f t="shared" si="5"/>
        <v>3.9250016666666667</v>
      </c>
    </row>
    <row r="62" spans="1:9" ht="15" customHeight="1" x14ac:dyDescent="0.3">
      <c r="A62" s="10"/>
      <c r="B62" s="1" t="s">
        <v>34</v>
      </c>
      <c r="C62" s="3">
        <v>3.8165300000000002</v>
      </c>
      <c r="D62" s="3">
        <v>4.4609399999999999</v>
      </c>
      <c r="E62" s="3">
        <v>4.4165999999999999</v>
      </c>
      <c r="F62" s="3">
        <v>3.9832900000000002</v>
      </c>
      <c r="G62" s="3">
        <v>3.6722100000000002</v>
      </c>
      <c r="H62" s="3">
        <v>3.3889399999999998</v>
      </c>
      <c r="I62" s="3">
        <f t="shared" si="5"/>
        <v>3.9564183333333331</v>
      </c>
    </row>
    <row r="63" spans="1:9" ht="15" customHeight="1" x14ac:dyDescent="0.3">
      <c r="A63" s="10"/>
      <c r="B63" s="2" t="s">
        <v>35</v>
      </c>
      <c r="C63" s="4">
        <v>3.82613</v>
      </c>
      <c r="D63" s="4">
        <v>4.5096699999999998</v>
      </c>
      <c r="E63" s="4">
        <v>4.4214200000000003</v>
      </c>
      <c r="F63" s="4">
        <v>4.0342399999999996</v>
      </c>
      <c r="G63" s="4">
        <v>3.70669</v>
      </c>
      <c r="H63" s="4">
        <v>3.35059</v>
      </c>
      <c r="I63" s="4">
        <f t="shared" si="5"/>
        <v>3.9747900000000005</v>
      </c>
    </row>
  </sheetData>
  <mergeCells count="13">
    <mergeCell ref="K2:M6"/>
    <mergeCell ref="A2:A15"/>
    <mergeCell ref="B2:I2"/>
    <mergeCell ref="B9:I9"/>
    <mergeCell ref="A18:A31"/>
    <mergeCell ref="B18:I18"/>
    <mergeCell ref="B25:I25"/>
    <mergeCell ref="A34:A47"/>
    <mergeCell ref="B34:I34"/>
    <mergeCell ref="B41:I41"/>
    <mergeCell ref="A50:A63"/>
    <mergeCell ref="B50:I50"/>
    <mergeCell ref="B57:I5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llama2-7b</vt:lpstr>
      <vt:lpstr>llama3-8b-60_7_10</vt:lpstr>
      <vt:lpstr>llama3-8b-60_5_10</vt:lpstr>
      <vt:lpstr>llama3-8b-16_3_4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 刘</dc:creator>
  <cp:lastModifiedBy>方 刘</cp:lastModifiedBy>
  <dcterms:created xsi:type="dcterms:W3CDTF">2025-06-12T10:46:05Z</dcterms:created>
  <dcterms:modified xsi:type="dcterms:W3CDTF">2026-01-16T08:11:35Z</dcterms:modified>
</cp:coreProperties>
</file>